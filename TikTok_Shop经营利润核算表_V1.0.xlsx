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映射说明" sheetId="1" state="visible" r:id="rId1"/>
    <sheet xmlns:r="http://schemas.openxmlformats.org/officeDocument/2006/relationships" name="01-经营总览" sheetId="2" state="visible" r:id="rId2"/>
    <sheet xmlns:r="http://schemas.openxmlformats.org/officeDocument/2006/relationships" name="02-利润明细" sheetId="3" state="visible" r:id="rId3"/>
    <sheet xmlns:r="http://schemas.openxmlformats.org/officeDocument/2006/relationships" name="03-成本结构" sheetId="4" state="visible" r:id="rId4"/>
    <sheet xmlns:r="http://schemas.openxmlformats.org/officeDocument/2006/relationships" name="04-推广分析" sheetId="5" state="visible" r:id="rId5"/>
    <sheet xmlns:r="http://schemas.openxmlformats.org/officeDocument/2006/relationships" name="05-达人分析" sheetId="6" state="visible" r:id="rId6"/>
    <sheet xmlns:r="http://schemas.openxmlformats.org/officeDocument/2006/relationships" name="06-售后分析" sheetId="7" state="visible" r:id="rId7"/>
    <sheet xmlns:r="http://schemas.openxmlformats.org/officeDocument/2006/relationships" name="07-指标定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color rgb="00C00000"/>
      <sz val="9"/>
    </font>
    <font>
      <name val="微软雅黑"/>
      <sz val="10"/>
    </font>
    <font>
      <name val="微软雅黑"/>
      <i val="1"/>
      <color rgb="00808080"/>
      <sz val="9"/>
    </font>
    <font>
      <name val="微软雅黑"/>
      <b val="1"/>
      <color rgb="002F5496"/>
      <sz val="11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b val="1"/>
      <color rgb="00FFFFFF"/>
      <sz val="14"/>
    </font>
    <font>
      <name val="微软雅黑"/>
      <b val="1"/>
      <color rgb="002F5496"/>
      <sz val="13"/>
    </font>
    <font>
      <name val="微软雅黑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4" fontId="10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10" fontId="3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32" customWidth="1" min="4" max="4"/>
  </cols>
  <sheetData>
    <row r="1" ht="30" customHeight="1">
      <c r="B1" s="1" t="inlineStr">
        <is>
          <t>TikTok Shop 经营利润核算表 - 数据映射说明</t>
        </is>
      </c>
    </row>
    <row r="3">
      <c r="B3" s="2" t="inlineStr">
        <is>
          <t>⚠️ 币种说明</t>
        </is>
      </c>
    </row>
    <row r="4">
      <c r="B4" s="3" t="inlineStr">
        <is>
          <t>结算数据（收入/平台费/广告/物流等）</t>
        </is>
      </c>
      <c r="C4" s="3" t="inlineStr">
        <is>
          <t>币种: THB（泰铢）</t>
        </is>
      </c>
      <c r="D4" s="4" t="inlineStr">
        <is>
          <t>来源: 结算明细、订单明细、推广数据、佣金数据、售后数据</t>
        </is>
      </c>
    </row>
    <row r="5">
      <c r="B5" s="3" t="inlineStr">
        <is>
          <t>商品成本</t>
        </is>
      </c>
      <c r="C5" s="5" t="inlineStr">
        <is>
          <t>币种: CNY（人民币）→ 需换算为 THB</t>
        </is>
      </c>
      <c r="D5" s="4" t="inlineStr">
        <is>
          <t>换算方式: 成本价(CNY) ÷ 汇率(THB/CNY) 或 成本价(CNY) × 汇率(CNY/THB)</t>
        </is>
      </c>
    </row>
    <row r="6">
      <c r="B6" s="3" t="inlineStr">
        <is>
          <t>其他费用（7店铺成本美妆）</t>
        </is>
      </c>
      <c r="C6" s="5" t="inlineStr">
        <is>
          <t>币种: CNY（人民币）→ 需换算为 THB</t>
        </is>
      </c>
      <c r="D6" s="4" t="inlineStr">
        <is>
          <t>来源: 7店铺成本美妆.xlsx</t>
        </is>
      </c>
    </row>
    <row r="8">
      <c r="B8" s="6" t="inlineStr">
        <is>
          <t>【数据源 → 模板字段 映射关系】</t>
        </is>
      </c>
    </row>
    <row r="9">
      <c r="B9" s="7" t="inlineStr">
        <is>
          <t>模板字段</t>
        </is>
      </c>
      <c r="C9" s="7" t="inlineStr">
        <is>
          <t>数据来源</t>
        </is>
      </c>
      <c r="D9" s="7" t="inlineStr">
        <is>
          <t>取数逻辑</t>
        </is>
      </c>
    </row>
    <row r="10">
      <c r="B10" s="3" t="inlineStr"/>
      <c r="C10" s="4" t="inlineStr"/>
      <c r="D10" s="3" t="inlineStr"/>
    </row>
    <row r="11">
      <c r="B11" s="8" t="inlineStr">
        <is>
          <t>── 收入端 ──</t>
        </is>
      </c>
      <c r="C11" s="9" t="n"/>
      <c r="D11" s="10" t="n"/>
    </row>
    <row r="12">
      <c r="B12" s="3" t="inlineStr">
        <is>
          <t>GMV</t>
        </is>
      </c>
      <c r="C12" s="4" t="inlineStr">
        <is>
          <t>结算明细 [享受折扣前小计]</t>
        </is>
      </c>
      <c r="D12" s="3" t="inlineStr">
        <is>
          <t>按SKU求和</t>
        </is>
      </c>
    </row>
    <row r="13">
      <c r="B13" s="3" t="inlineStr">
        <is>
          <t>有效销售额</t>
        </is>
      </c>
      <c r="C13" s="4" t="inlineStr">
        <is>
          <t>结算明细 [享受商家折扣后小计]</t>
        </is>
      </c>
      <c r="D13" s="3" t="inlineStr">
        <is>
          <t>按SKU求和：折扣后小计 - 退款小计</t>
        </is>
      </c>
    </row>
    <row r="14">
      <c r="B14" s="3" t="inlineStr">
        <is>
          <t>退款金额</t>
        </is>
      </c>
      <c r="C14" s="4" t="inlineStr">
        <is>
          <t>结算明细 [享受商家折扣后的退款小计]</t>
        </is>
      </c>
      <c r="D14" s="3" t="inlineStr">
        <is>
          <t>按SKU求和（取绝对值）</t>
        </is>
      </c>
    </row>
    <row r="15">
      <c r="B15" s="3" t="inlineStr">
        <is>
          <t>卖家折扣</t>
        </is>
      </c>
      <c r="C15" s="4" t="inlineStr">
        <is>
          <t>结算明细 [商家折扣]</t>
        </is>
      </c>
      <c r="D15" s="3" t="inlineStr">
        <is>
          <t>按SKU求和（取绝对值）</t>
        </is>
      </c>
    </row>
    <row r="16">
      <c r="B16" s="3" t="inlineStr">
        <is>
          <t>净销售收入</t>
        </is>
      </c>
      <c r="C16" s="4" t="inlineStr">
        <is>
          <t>计算</t>
        </is>
      </c>
      <c r="D16" s="3" t="inlineStr">
        <is>
          <t>有效销售额 - 卖家折扣</t>
        </is>
      </c>
    </row>
    <row r="17">
      <c r="B17" s="3" t="inlineStr">
        <is>
          <t>买家付运费</t>
        </is>
      </c>
      <c r="C17" s="4" t="inlineStr">
        <is>
          <t>结算明细 [买家支付运费]</t>
        </is>
      </c>
      <c r="D17" s="3" t="inlineStr">
        <is>
          <t>按SKU求和</t>
        </is>
      </c>
    </row>
    <row r="18">
      <c r="B18" s="3" t="inlineStr"/>
      <c r="C18" s="4" t="inlineStr"/>
      <c r="D18" s="3" t="inlineStr"/>
    </row>
    <row r="19">
      <c r="B19" s="8" t="inlineStr">
        <is>
          <t>── 成本端（THB部分）──</t>
        </is>
      </c>
      <c r="C19" s="9" t="n"/>
      <c r="D19" s="10" t="n"/>
    </row>
    <row r="20">
      <c r="B20" s="3" t="inlineStr">
        <is>
          <t>平台佣金</t>
        </is>
      </c>
      <c r="C20" s="4" t="inlineStr">
        <is>
          <t>结算明细 [TikTok Shop 佣金费]</t>
        </is>
      </c>
      <c r="D20" s="3" t="inlineStr">
        <is>
          <t>按SKU求和（取绝对值）</t>
        </is>
      </c>
    </row>
    <row r="21">
      <c r="B21" s="3" t="inlineStr">
        <is>
          <t>交易手续费</t>
        </is>
      </c>
      <c r="C21" s="4" t="inlineStr">
        <is>
          <t>结算明细 [交易手续费]</t>
        </is>
      </c>
      <c r="D21" s="3" t="inlineStr">
        <is>
          <t>按SKU求和（取绝对值）</t>
        </is>
      </c>
    </row>
    <row r="22">
      <c r="B22" s="3" t="inlineStr">
        <is>
          <t>平台税费及其他</t>
        </is>
      </c>
      <c r="C22" s="4" t="inlineStr">
        <is>
          <t>结算明细 [电商增长服务费+基础设施费+其他]</t>
        </is>
      </c>
      <c r="D22" s="3" t="inlineStr">
        <is>
          <t>按SKU求和</t>
        </is>
      </c>
    </row>
    <row r="23">
      <c r="B23" s="3" t="inlineStr">
        <is>
          <t>推广费用</t>
        </is>
      </c>
      <c r="C23" s="4" t="inlineStr">
        <is>
          <t>结算明细 [GMV Max 广告费]</t>
        </is>
      </c>
      <c r="D23" s="3" t="inlineStr">
        <is>
          <t>按SKU求和（取绝对值）</t>
        </is>
      </c>
    </row>
    <row r="24">
      <c r="B24" s="3" t="inlineStr">
        <is>
          <t>达人佣金</t>
        </is>
      </c>
      <c r="C24" s="4" t="inlineStr">
        <is>
          <t>结算明细 [联盟佣金]</t>
        </is>
      </c>
      <c r="D24" s="3" t="inlineStr">
        <is>
          <t>按SKU求和（取绝对值）</t>
        </is>
      </c>
    </row>
    <row r="25">
      <c r="B25" s="3" t="inlineStr">
        <is>
          <t>尾程物流</t>
        </is>
      </c>
      <c r="C25" s="4" t="inlineStr">
        <is>
          <t>结算明细 [商家运费]</t>
        </is>
      </c>
      <c r="D25" s="3" t="inlineStr">
        <is>
          <t>按SKU求和（取绝对值）</t>
        </is>
      </c>
    </row>
    <row r="26">
      <c r="B26" s="3" t="inlineStr">
        <is>
          <t>售后损失</t>
        </is>
      </c>
      <c r="C26" s="4" t="inlineStr">
        <is>
          <t>售后退款明细 + 结算明细退款</t>
        </is>
      </c>
      <c r="D26" s="3" t="inlineStr">
        <is>
          <t>按SKU统计</t>
        </is>
      </c>
    </row>
    <row r="27">
      <c r="B27" s="3" t="inlineStr"/>
      <c r="C27" s="4" t="inlineStr"/>
      <c r="D27" s="3" t="inlineStr"/>
    </row>
    <row r="28">
      <c r="B28" s="8" t="inlineStr">
        <is>
          <t>── 成本端（CNY→THB换算）──</t>
        </is>
      </c>
      <c r="C28" s="9" t="n"/>
      <c r="D28" s="10" t="n"/>
    </row>
    <row r="29">
      <c r="B29" s="3" t="inlineStr">
        <is>
          <t>商品成本(CNY)</t>
        </is>
      </c>
      <c r="C29" s="4" t="inlineStr">
        <is>
          <t>泰国商品资料 [成本价（含头程物流版）]</t>
        </is>
      </c>
      <c r="D29" s="5" t="inlineStr">
        <is>
          <t>按SKU匹配：Seller SKU → 商品编码 → 成本价(CNY)</t>
        </is>
      </c>
    </row>
    <row r="30">
      <c r="B30" s="3" t="inlineStr">
        <is>
          <t>商品成本(THB)</t>
        </is>
      </c>
      <c r="C30" s="4" t="inlineStr">
        <is>
          <t>计算</t>
        </is>
      </c>
      <c r="D30" s="5" t="inlineStr">
        <is>
          <t>商品成本(CNY) × 汇率 → 换算为THB后填入利润明细</t>
        </is>
      </c>
    </row>
    <row r="31">
      <c r="B31" s="3" t="inlineStr">
        <is>
          <t>其他费用(CNY)</t>
        </is>
      </c>
      <c r="C31" s="4" t="inlineStr">
        <is>
          <t>7店铺成本美妆</t>
        </is>
      </c>
      <c r="D31" s="5" t="inlineStr">
        <is>
          <t>杂项费用汇总</t>
        </is>
      </c>
    </row>
    <row r="32">
      <c r="B32" s="3" t="inlineStr">
        <is>
          <t>其他费用(THB)</t>
        </is>
      </c>
      <c r="C32" s="4" t="inlineStr">
        <is>
          <t>计算</t>
        </is>
      </c>
      <c r="D32" s="5" t="inlineStr">
        <is>
          <t>其他费用(CNY) × 汇率 → 换算为THB后填入</t>
        </is>
      </c>
    </row>
    <row r="33">
      <c r="B33" s="3" t="inlineStr"/>
      <c r="C33" s="4" t="inlineStr"/>
      <c r="D33" s="3" t="inlineStr"/>
    </row>
    <row r="34">
      <c r="B34" s="8" t="inlineStr">
        <is>
          <t>── 关键匹配链路 ──</t>
        </is>
      </c>
      <c r="C34" s="9" t="n"/>
      <c r="D34" s="10" t="n"/>
    </row>
    <row r="35">
      <c r="B35" s="3" t="inlineStr">
        <is>
          <t>SKU关联</t>
        </is>
      </c>
      <c r="C35" s="4" t="inlineStr"/>
      <c r="D35" s="5" t="inlineStr">
        <is>
          <t>结算明细[已售商品详情] → 提取SKU ID → 订单明细[SKU ID] → 获取Seller SKU → 商品资料[商品编码] → 获取成本价(CNY)</t>
        </is>
      </c>
    </row>
    <row r="36">
      <c r="B36" s="3" t="inlineStr">
        <is>
          <t>汇率换算</t>
        </is>
      </c>
      <c r="C36" s="4" t="inlineStr"/>
      <c r="D36" s="5" t="inlineStr">
        <is>
          <t>⚠️ 成本价(CNY) 需 ÷ 汇率转为THB，填入利润明细表</t>
        </is>
      </c>
    </row>
    <row r="37">
      <c r="B37" s="3" t="inlineStr">
        <is>
          <t>广告关联</t>
        </is>
      </c>
      <c r="C37" s="4" t="inlineStr">
        <is>
          <t>商品级推广数据</t>
        </is>
      </c>
      <c r="D37" s="3" t="inlineStr">
        <is>
          <t>按广告组名称匹配到SKU（需人工建立映射）</t>
        </is>
      </c>
    </row>
  </sheetData>
  <mergeCells count="4">
    <mergeCell ref="B11:D11"/>
    <mergeCell ref="B19:D19"/>
    <mergeCell ref="B34:D34"/>
    <mergeCell ref="B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1" t="inlineStr">
        <is>
          <t>TikTok Shop 经营利润总览</t>
        </is>
      </c>
    </row>
    <row r="2">
      <c r="A2" s="12" t="inlineStr">
        <is>
          <t>统计周期:</t>
        </is>
      </c>
      <c r="B2" s="13" t="inlineStr">
        <is>
          <t>2026年7月</t>
        </is>
      </c>
      <c r="C2" s="12" t="inlineStr">
        <is>
          <t>结算币种:</t>
        </is>
      </c>
      <c r="D2" s="13" t="inlineStr">
        <is>
          <t>THB</t>
        </is>
      </c>
      <c r="E2" s="12" t="inlineStr">
        <is>
          <t>汇率(CNY→THB):</t>
        </is>
      </c>
      <c r="F2" s="13" t="inlineStr">
        <is>
          <t>约5.0</t>
        </is>
      </c>
      <c r="G2" s="12" t="inlineStr">
        <is>
          <t>⚠️成本为CNY需换算</t>
        </is>
      </c>
      <c r="H2" s="14" t="inlineStr">
        <is>
          <t>见数据映射说明</t>
        </is>
      </c>
    </row>
    <row r="4">
      <c r="A4" s="8" t="inlineStr">
        <is>
          <t>📈 核心经营指标</t>
        </is>
      </c>
    </row>
    <row r="5">
      <c r="A5" s="15" t="inlineStr">
        <is>
          <t>GMV总额</t>
        </is>
      </c>
      <c r="C5" s="15" t="inlineStr">
        <is>
          <t>有效销售额</t>
        </is>
      </c>
      <c r="E5" s="15" t="inlineStr">
        <is>
          <t>净销售收入</t>
        </is>
      </c>
      <c r="G5" s="15" t="inlineStr">
        <is>
          <t>经营贡献利润</t>
        </is>
      </c>
    </row>
    <row r="6">
      <c r="A6" s="16">
        <f>SUM(利润明细!F:F)</f>
        <v/>
      </c>
      <c r="C6" s="16">
        <f>SUM(利润明细!G:G)</f>
        <v/>
      </c>
      <c r="E6" s="16">
        <f>SUM(利润明细!I:I)</f>
        <v/>
      </c>
      <c r="G6" s="16">
        <f>SUM(利润明细!X:X)</f>
        <v/>
      </c>
    </row>
    <row r="7">
      <c r="A7" s="17" t="inlineStr">
        <is>
          <t>订单量</t>
        </is>
      </c>
      <c r="C7" s="17" t="inlineStr">
        <is>
          <t>销量(件)</t>
        </is>
      </c>
      <c r="E7" s="17" t="inlineStr">
        <is>
          <t>经营利润率</t>
        </is>
      </c>
      <c r="G7" s="17" t="inlineStr">
        <is>
          <t>总变动成本率</t>
        </is>
      </c>
    </row>
    <row r="8">
      <c r="A8" s="18">
        <f>SUM(利润明细!D:D)</f>
        <v/>
      </c>
      <c r="C8" s="18">
        <f>SUM(利润明细!E:E)</f>
        <v/>
      </c>
      <c r="E8" s="19">
        <f>IFERROR(SUM(利润明细!X:X)/SUM(利润明细!G:G),0)</f>
        <v/>
      </c>
      <c r="G8" s="19">
        <f>IFERROR(SUM(利润明细!W:W)/SUM(利润明细!G:G),0)</f>
        <v/>
      </c>
    </row>
    <row r="9">
      <c r="A9" s="8" t="inlineStr">
        <is>
          <t>💰 收入结构（THB）</t>
        </is>
      </c>
    </row>
    <row r="10">
      <c r="A10" s="15" t="inlineStr">
        <is>
          <t>项目</t>
        </is>
      </c>
      <c r="B10" s="15" t="inlineStr">
        <is>
          <t>金额(THB)</t>
        </is>
      </c>
      <c r="C10" s="15" t="inlineStr">
        <is>
          <t>占有效销售额比</t>
        </is>
      </c>
      <c r="D10" s="15" t="inlineStr">
        <is>
          <t>说明</t>
        </is>
      </c>
    </row>
    <row r="11">
      <c r="A11" s="3" t="inlineStr">
        <is>
          <t>GMV总额</t>
        </is>
      </c>
      <c r="B11" s="20">
        <f>SUM(利润明细!F:F)</f>
        <v/>
      </c>
      <c r="C11" s="21">
        <f>IFERROR(B11/SUM(利润明细!G:G),0)</f>
        <v/>
      </c>
      <c r="D11" s="4" t="inlineStr">
        <is>
          <t>享受折扣前小计</t>
        </is>
      </c>
    </row>
    <row r="12">
      <c r="A12" s="3" t="inlineStr">
        <is>
          <t>减：退款</t>
        </is>
      </c>
      <c r="B12" s="20">
        <f>SUM(利润明细!H:H)</f>
        <v/>
      </c>
      <c r="C12" s="21">
        <f>IFERROR(B12/SUM(利润明细!G:G),0)</f>
        <v/>
      </c>
      <c r="D12" s="4" t="inlineStr">
        <is>
          <t>退款小计</t>
        </is>
      </c>
    </row>
    <row r="13">
      <c r="A13" s="22" t="inlineStr">
        <is>
          <t>有效销售额</t>
        </is>
      </c>
      <c r="B13" s="23">
        <f>SUM(利润明细!G:G)</f>
        <v/>
      </c>
      <c r="C13" s="24">
        <f>IFERROR(B13/SUM(利润明细!G:G),0)</f>
        <v/>
      </c>
      <c r="D13" s="25" t="inlineStr">
        <is>
          <t>GMV - 退款</t>
        </is>
      </c>
    </row>
    <row r="14">
      <c r="A14" s="3" t="inlineStr">
        <is>
          <t>减：卖家折扣</t>
        </is>
      </c>
      <c r="B14" s="20">
        <f>SUM(利润明细!J:J)</f>
        <v/>
      </c>
      <c r="C14" s="21">
        <f>IFERROR(B14/SUM(利润明细!G:G),0)</f>
        <v/>
      </c>
      <c r="D14" s="4" t="inlineStr">
        <is>
          <t>商家折扣</t>
        </is>
      </c>
    </row>
    <row r="15">
      <c r="A15" s="22" t="inlineStr">
        <is>
          <t>净销售收入</t>
        </is>
      </c>
      <c r="B15" s="23">
        <f>SUM(利润明细!I:I)</f>
        <v/>
      </c>
      <c r="C15" s="24">
        <f>IFERROR(B15/SUM(利润明细!G:G),0)</f>
        <v/>
      </c>
      <c r="D15" s="25" t="inlineStr">
        <is>
          <t>有效销售 - 折扣</t>
        </is>
      </c>
    </row>
    <row r="17">
      <c r="A17" s="8" t="inlineStr">
        <is>
          <t>💸 成本费用结构（THB，商品成本已从CNY换算）</t>
        </is>
      </c>
    </row>
    <row r="18">
      <c r="A18" s="15" t="inlineStr">
        <is>
          <t>成本项目</t>
        </is>
      </c>
      <c r="B18" s="15" t="inlineStr">
        <is>
          <t>金额(THB)</t>
        </is>
      </c>
      <c r="C18" s="15" t="inlineStr">
        <is>
          <t>占有效销售额比</t>
        </is>
      </c>
      <c r="D18" s="15" t="inlineStr">
        <is>
          <t>说明</t>
        </is>
      </c>
    </row>
    <row r="19">
      <c r="A19" s="3" t="inlineStr">
        <is>
          <t>商品成本(CNY→THB)</t>
        </is>
      </c>
      <c r="B19" s="20">
        <f>SUM(利润明细!L:L)</f>
        <v/>
      </c>
      <c r="C19" s="21">
        <f>IFERROR(B19/SUM(利润明细!G:G),0)</f>
        <v/>
      </c>
      <c r="D19" s="4" t="inlineStr">
        <is>
          <t>成本价(CNY)×汇率，含头程物流</t>
        </is>
      </c>
    </row>
    <row r="20">
      <c r="A20" s="3" t="inlineStr">
        <is>
          <t>平台佣金</t>
        </is>
      </c>
      <c r="B20" s="20">
        <f>SUM(利润明细!N:N)</f>
        <v/>
      </c>
      <c r="C20" s="21">
        <f>IFERROR(B20/SUM(利润明细!G:G),0)</f>
        <v/>
      </c>
      <c r="D20" s="4" t="inlineStr"/>
    </row>
    <row r="21">
      <c r="A21" s="3" t="inlineStr">
        <is>
          <t>交易手续费</t>
        </is>
      </c>
      <c r="B21" s="20">
        <f>SUM(利润明细!O:O)</f>
        <v/>
      </c>
      <c r="C21" s="21">
        <f>IFERROR(B21/SUM(利润明细!G:G),0)</f>
        <v/>
      </c>
      <c r="D21" s="4" t="inlineStr"/>
    </row>
    <row r="22">
      <c r="A22" s="3" t="inlineStr">
        <is>
          <t>平台税费及其他</t>
        </is>
      </c>
      <c r="B22" s="20">
        <f>SUM(利润明细!P:P)</f>
        <v/>
      </c>
      <c r="C22" s="21">
        <f>IFERROR(B22/SUM(利润明细!G:G),0)</f>
        <v/>
      </c>
      <c r="D22" s="4" t="inlineStr">
        <is>
          <t>电商增长+基础设施+其他</t>
        </is>
      </c>
    </row>
    <row r="23">
      <c r="A23" s="3" t="inlineStr">
        <is>
          <t>推广费用</t>
        </is>
      </c>
      <c r="B23" s="20">
        <f>SUM(利润明细!Q:Q)</f>
        <v/>
      </c>
      <c r="C23" s="21">
        <f>IFERROR(B23/SUM(利润明细!G:G),0)</f>
        <v/>
      </c>
      <c r="D23" s="4" t="inlineStr">
        <is>
          <t>GMV Max广告费</t>
        </is>
      </c>
    </row>
    <row r="24">
      <c r="A24" s="3" t="inlineStr">
        <is>
          <t>达人佣金</t>
        </is>
      </c>
      <c r="B24" s="20">
        <f>SUM(利润明细!R:R)</f>
        <v/>
      </c>
      <c r="C24" s="21">
        <f>IFERROR(B24/SUM(利润明细!G:G),0)</f>
        <v/>
      </c>
      <c r="D24" s="4" t="inlineStr">
        <is>
          <t>联盟佣金</t>
        </is>
      </c>
    </row>
    <row r="25">
      <c r="A25" s="3" t="inlineStr">
        <is>
          <t>尾程物流</t>
        </is>
      </c>
      <c r="B25" s="20">
        <f>SUM(利润明细!S:S)</f>
        <v/>
      </c>
      <c r="C25" s="21">
        <f>IFERROR(B25/SUM(利润明细!G:G),0)</f>
        <v/>
      </c>
      <c r="D25" s="4" t="inlineStr">
        <is>
          <t>商家运费</t>
        </is>
      </c>
    </row>
    <row r="26">
      <c r="A26" s="3" t="inlineStr">
        <is>
          <t>售后损失</t>
        </is>
      </c>
      <c r="B26" s="20">
        <f>SUM(利润明细!U:U)</f>
        <v/>
      </c>
      <c r="C26" s="21">
        <f>IFERROR(B26/SUM(利润明细!G:G),0)</f>
        <v/>
      </c>
      <c r="D26" s="4" t="inlineStr"/>
    </row>
    <row r="27">
      <c r="A27" s="3" t="inlineStr">
        <is>
          <t>其他费用(CNY→THB)</t>
        </is>
      </c>
      <c r="B27" s="20">
        <f>SUM(利润明细!V:V)</f>
        <v/>
      </c>
      <c r="C27" s="21">
        <f>IFERROR(B27/SUM(利润明细!G:G),0)</f>
        <v/>
      </c>
      <c r="D27" s="4" t="inlineStr">
        <is>
          <t>杂项(CNY)×汇率</t>
        </is>
      </c>
    </row>
    <row r="28">
      <c r="A28" s="26" t="inlineStr">
        <is>
          <t>总变动成本</t>
        </is>
      </c>
      <c r="B28" s="27">
        <f>SUM(利润明细!W:W)</f>
        <v/>
      </c>
      <c r="C28" s="28">
        <f>IFERROR(B28/SUM(利润明细!G:G),0)</f>
        <v/>
      </c>
      <c r="D28" s="29" t="inlineStr">
        <is>
          <t>以上所有变动成本之和</t>
        </is>
      </c>
    </row>
    <row r="30">
      <c r="A30" s="8" t="inlineStr">
        <is>
          <t>📊 利润计算（THB）</t>
        </is>
      </c>
    </row>
    <row r="31">
      <c r="A31" s="3" t="inlineStr">
        <is>
          <t>净销售收入</t>
        </is>
      </c>
      <c r="B31" s="20">
        <f>SUM(利润明细!I:I)</f>
        <v/>
      </c>
      <c r="C31" s="4" t="inlineStr"/>
    </row>
    <row r="32">
      <c r="A32" s="3" t="inlineStr">
        <is>
          <t>减：商品成本</t>
        </is>
      </c>
      <c r="B32" s="20">
        <f>SUM(利润明细!L:L)</f>
        <v/>
      </c>
      <c r="C32" s="4" t="inlineStr"/>
    </row>
    <row r="33">
      <c r="A33" s="30" t="inlineStr">
        <is>
          <t>毛利润</t>
        </is>
      </c>
      <c r="B33" s="31">
        <f>SUM(利润明细!I:I)-SUM(利润明细!L:L)</f>
        <v/>
      </c>
      <c r="C33" s="25" t="inlineStr"/>
    </row>
    <row r="34">
      <c r="A34" s="22" t="inlineStr">
        <is>
          <t>毛利率</t>
        </is>
      </c>
      <c r="B34" s="32">
        <f>IFERROR((SUM(利润明细!I:I)-SUM(利润明细!L:L))/SUM(利润明细!G:G),0)</f>
        <v/>
      </c>
      <c r="C34" s="25" t="inlineStr"/>
    </row>
    <row r="35">
      <c r="A35" s="3" t="inlineStr">
        <is>
          <t>减：总变动成本</t>
        </is>
      </c>
      <c r="B35" s="20">
        <f>SUM(利润明细!W:W)</f>
        <v/>
      </c>
      <c r="C35" s="4" t="inlineStr"/>
    </row>
    <row r="36">
      <c r="A36" s="30" t="inlineStr">
        <is>
          <t>经营贡献利润</t>
        </is>
      </c>
      <c r="B36" s="31">
        <f>SUM(利润明细!X:X)</f>
        <v/>
      </c>
      <c r="C36" s="25" t="inlineStr"/>
    </row>
    <row r="37">
      <c r="A37" s="30" t="inlineStr">
        <is>
          <t>经营贡献利润率</t>
        </is>
      </c>
      <c r="B37" s="33">
        <f>IFERROR(SUM(利润明细!X:X)/SUM(利润明细!G:G),0)</f>
        <v/>
      </c>
      <c r="C37" s="25" t="inlineStr"/>
    </row>
  </sheetData>
  <mergeCells count="43">
    <mergeCell ref="A9:H9"/>
    <mergeCell ref="A30:H30"/>
    <mergeCell ref="C6:D6"/>
    <mergeCell ref="D20:H20"/>
    <mergeCell ref="C5:D5"/>
    <mergeCell ref="D19:H19"/>
    <mergeCell ref="C31:H31"/>
    <mergeCell ref="E5:F5"/>
    <mergeCell ref="A1:H1"/>
    <mergeCell ref="G8:H8"/>
    <mergeCell ref="D22:H22"/>
    <mergeCell ref="E8:F8"/>
    <mergeCell ref="A6:B6"/>
    <mergeCell ref="D21:H21"/>
    <mergeCell ref="A7:B7"/>
    <mergeCell ref="G7:H7"/>
    <mergeCell ref="C36:H36"/>
    <mergeCell ref="D11:H11"/>
    <mergeCell ref="D13:H13"/>
    <mergeCell ref="D27:H27"/>
    <mergeCell ref="G6:H6"/>
    <mergeCell ref="C32:H32"/>
    <mergeCell ref="E6:F6"/>
    <mergeCell ref="C37:H37"/>
    <mergeCell ref="A5:B5"/>
    <mergeCell ref="G5:H5"/>
    <mergeCell ref="D28:H28"/>
    <mergeCell ref="C34:H34"/>
    <mergeCell ref="A8:B8"/>
    <mergeCell ref="C8:D8"/>
    <mergeCell ref="A17:H17"/>
    <mergeCell ref="C33:H33"/>
    <mergeCell ref="A4:H4"/>
    <mergeCell ref="D12:H12"/>
    <mergeCell ref="D25:H25"/>
    <mergeCell ref="C7:D7"/>
    <mergeCell ref="D15:H15"/>
    <mergeCell ref="E7:F7"/>
    <mergeCell ref="D24:H24"/>
    <mergeCell ref="D23:H23"/>
    <mergeCell ref="C35:H35"/>
    <mergeCell ref="D14:H14"/>
    <mergeCell ref="D26:H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6" customWidth="1" min="23" max="23"/>
    <col width="12" customWidth="1" min="24" max="24"/>
  </cols>
  <sheetData>
    <row r="1" ht="30" customHeight="1">
      <c r="A1" s="11" t="inlineStr">
        <is>
          <t>TikTok Shop 利润明细表（SKU维度，全部THB）</t>
        </is>
      </c>
    </row>
    <row r="2">
      <c r="A2" s="17" t="inlineStr">
        <is>
          <t>基础信息</t>
        </is>
      </c>
      <c r="D2" s="17" t="inlineStr">
        <is>
          <t>销售数据</t>
        </is>
      </c>
      <c r="G2" s="17" t="inlineStr">
        <is>
          <t>收入计算</t>
        </is>
      </c>
      <c r="L2" s="17" t="inlineStr">
        <is>
          <t>成本&amp;毛利</t>
        </is>
      </c>
      <c r="N2" s="17" t="inlineStr">
        <is>
          <t>平台费用</t>
        </is>
      </c>
      <c r="Q2" s="17" t="inlineStr">
        <is>
          <t>推广&amp;达人</t>
        </is>
      </c>
      <c r="S2" s="17" t="inlineStr">
        <is>
          <t>物流&amp;其他</t>
        </is>
      </c>
      <c r="V2" s="17" t="inlineStr">
        <is>
          <t>利润指标</t>
        </is>
      </c>
    </row>
    <row r="3">
      <c r="A3" s="15" t="inlineStr">
        <is>
          <t>序号</t>
        </is>
      </c>
      <c r="B3" s="15" t="inlineStr">
        <is>
          <t>Seller SKU</t>
        </is>
      </c>
      <c r="C3" s="15" t="inlineStr">
        <is>
          <t>商品名称</t>
        </is>
      </c>
      <c r="D3" s="15" t="inlineStr">
        <is>
          <t>订单量</t>
        </is>
      </c>
      <c r="E3" s="15" t="inlineStr">
        <is>
          <t>销量(件)</t>
        </is>
      </c>
      <c r="F3" s="15" t="inlineStr">
        <is>
          <t>GMV</t>
        </is>
      </c>
      <c r="G3" s="15" t="inlineStr">
        <is>
          <t>有效销售额</t>
        </is>
      </c>
      <c r="H3" s="15" t="inlineStr">
        <is>
          <t>退款金额</t>
        </is>
      </c>
      <c r="I3" s="15" t="inlineStr">
        <is>
          <t>净销售收入</t>
        </is>
      </c>
      <c r="J3" s="15" t="inlineStr">
        <is>
          <t>卖家折扣</t>
        </is>
      </c>
      <c r="K3" s="15" t="inlineStr">
        <is>
          <t>买家付运费</t>
        </is>
      </c>
      <c r="L3" s="15" t="inlineStr">
        <is>
          <t>商品成本(THB)</t>
        </is>
      </c>
      <c r="M3" s="15" t="inlineStr">
        <is>
          <t>毛利率</t>
        </is>
      </c>
      <c r="N3" s="15" t="inlineStr">
        <is>
          <t>平台佣金</t>
        </is>
      </c>
      <c r="O3" s="15" t="inlineStr">
        <is>
          <t>交易手续费</t>
        </is>
      </c>
      <c r="P3" s="15" t="inlineStr">
        <is>
          <t>平台税费及其他</t>
        </is>
      </c>
      <c r="Q3" s="15" t="inlineStr">
        <is>
          <t>推广费用</t>
        </is>
      </c>
      <c r="R3" s="15" t="inlineStr">
        <is>
          <t>达人佣金</t>
        </is>
      </c>
      <c r="S3" s="15" t="inlineStr">
        <is>
          <t>尾程物流</t>
        </is>
      </c>
      <c r="T3" s="15" t="inlineStr">
        <is>
          <t>其他费用</t>
        </is>
      </c>
      <c r="U3" s="15" t="inlineStr">
        <is>
          <t>售后损失</t>
        </is>
      </c>
      <c r="V3" s="15" t="inlineStr">
        <is>
          <t>总变动成本</t>
        </is>
      </c>
      <c r="W3" s="15" t="inlineStr">
        <is>
          <t>经营贡献利润</t>
        </is>
      </c>
      <c r="X3" s="15" t="inlineStr">
        <is>
          <t>经营利润率</t>
        </is>
      </c>
    </row>
    <row r="4">
      <c r="A4" s="34" t="n">
        <v>1</v>
      </c>
      <c r="B4" s="35" t="inlineStr"/>
      <c r="C4" s="35" t="inlineStr"/>
      <c r="D4" s="36" t="inlineStr"/>
      <c r="E4" s="36" t="inlineStr"/>
      <c r="F4" s="37" t="inlineStr"/>
      <c r="G4" s="37" t="inlineStr"/>
      <c r="H4" s="37" t="inlineStr"/>
      <c r="I4" s="38">
        <f>IFERROR(G4-J4,0)</f>
        <v/>
      </c>
      <c r="J4" s="37" t="inlineStr"/>
      <c r="K4" s="37" t="inlineStr"/>
      <c r="L4" s="37" t="inlineStr"/>
      <c r="M4" s="39">
        <f>IFERROR((G4-L4)/G4,0)</f>
        <v/>
      </c>
      <c r="N4" s="37" t="inlineStr"/>
      <c r="O4" s="37" t="inlineStr"/>
      <c r="P4" s="37" t="inlineStr"/>
      <c r="Q4" s="37" t="inlineStr"/>
      <c r="R4" s="37" t="inlineStr"/>
      <c r="S4" s="37" t="inlineStr"/>
      <c r="T4" s="37" t="inlineStr"/>
      <c r="U4" s="37" t="inlineStr"/>
      <c r="V4" s="38">
        <f>IFERROR(L4+N4+O4+P4+Q4+R4+S4+T4+U4,0)</f>
        <v/>
      </c>
      <c r="W4" s="38">
        <f>IFERROR(I4-W4,0)</f>
        <v/>
      </c>
      <c r="X4" s="39">
        <f>IFERROR(X4/G4,0)</f>
        <v/>
      </c>
    </row>
    <row r="5">
      <c r="A5" s="34" t="n">
        <v>2</v>
      </c>
      <c r="B5" s="35" t="inlineStr"/>
      <c r="C5" s="35" t="inlineStr"/>
      <c r="D5" s="36" t="inlineStr"/>
      <c r="E5" s="36" t="inlineStr"/>
      <c r="F5" s="37" t="inlineStr"/>
      <c r="G5" s="37" t="inlineStr"/>
      <c r="H5" s="37" t="inlineStr"/>
      <c r="I5" s="38">
        <f>IFERROR(G5-J5,0)</f>
        <v/>
      </c>
      <c r="J5" s="37" t="inlineStr"/>
      <c r="K5" s="37" t="inlineStr"/>
      <c r="L5" s="37" t="inlineStr"/>
      <c r="M5" s="39">
        <f>IFERROR((G5-L5)/G5,0)</f>
        <v/>
      </c>
      <c r="N5" s="37" t="inlineStr"/>
      <c r="O5" s="37" t="inlineStr"/>
      <c r="P5" s="37" t="inlineStr"/>
      <c r="Q5" s="37" t="inlineStr"/>
      <c r="R5" s="37" t="inlineStr"/>
      <c r="S5" s="37" t="inlineStr"/>
      <c r="T5" s="37" t="inlineStr"/>
      <c r="U5" s="37" t="inlineStr"/>
      <c r="V5" s="38">
        <f>IFERROR(L5+N5+O5+P5+Q5+R5+S5+T5+U5,0)</f>
        <v/>
      </c>
      <c r="W5" s="38">
        <f>IFERROR(I5-W5,0)</f>
        <v/>
      </c>
      <c r="X5" s="39">
        <f>IFERROR(X5/G5,0)</f>
        <v/>
      </c>
    </row>
    <row r="6">
      <c r="A6" s="34" t="n">
        <v>3</v>
      </c>
      <c r="B6" s="35" t="inlineStr"/>
      <c r="C6" s="35" t="inlineStr"/>
      <c r="D6" s="36" t="inlineStr"/>
      <c r="E6" s="36" t="inlineStr"/>
      <c r="F6" s="37" t="inlineStr"/>
      <c r="G6" s="37" t="inlineStr"/>
      <c r="H6" s="37" t="inlineStr"/>
      <c r="I6" s="38">
        <f>IFERROR(G6-J6,0)</f>
        <v/>
      </c>
      <c r="J6" s="37" t="inlineStr"/>
      <c r="K6" s="37" t="inlineStr"/>
      <c r="L6" s="37" t="inlineStr"/>
      <c r="M6" s="39">
        <f>IFERROR((G6-L6)/G6,0)</f>
        <v/>
      </c>
      <c r="N6" s="37" t="inlineStr"/>
      <c r="O6" s="37" t="inlineStr"/>
      <c r="P6" s="37" t="inlineStr"/>
      <c r="Q6" s="37" t="inlineStr"/>
      <c r="R6" s="37" t="inlineStr"/>
      <c r="S6" s="37" t="inlineStr"/>
      <c r="T6" s="37" t="inlineStr"/>
      <c r="U6" s="37" t="inlineStr"/>
      <c r="V6" s="38">
        <f>IFERROR(L6+N6+O6+P6+Q6+R6+S6+T6+U6,0)</f>
        <v/>
      </c>
      <c r="W6" s="38">
        <f>IFERROR(I6-W6,0)</f>
        <v/>
      </c>
      <c r="X6" s="39">
        <f>IFERROR(X6/G6,0)</f>
        <v/>
      </c>
    </row>
    <row r="7">
      <c r="A7" s="34" t="n">
        <v>4</v>
      </c>
      <c r="B7" s="35" t="inlineStr"/>
      <c r="C7" s="35" t="inlineStr"/>
      <c r="D7" s="36" t="inlineStr"/>
      <c r="E7" s="36" t="inlineStr"/>
      <c r="F7" s="37" t="inlineStr"/>
      <c r="G7" s="37" t="inlineStr"/>
      <c r="H7" s="37" t="inlineStr"/>
      <c r="I7" s="38">
        <f>IFERROR(G7-J7,0)</f>
        <v/>
      </c>
      <c r="J7" s="37" t="inlineStr"/>
      <c r="K7" s="37" t="inlineStr"/>
      <c r="L7" s="37" t="inlineStr"/>
      <c r="M7" s="39">
        <f>IFERROR((G7-L7)/G7,0)</f>
        <v/>
      </c>
      <c r="N7" s="37" t="inlineStr"/>
      <c r="O7" s="37" t="inlineStr"/>
      <c r="P7" s="37" t="inlineStr"/>
      <c r="Q7" s="37" t="inlineStr"/>
      <c r="R7" s="37" t="inlineStr"/>
      <c r="S7" s="37" t="inlineStr"/>
      <c r="T7" s="37" t="inlineStr"/>
      <c r="U7" s="37" t="inlineStr"/>
      <c r="V7" s="38">
        <f>IFERROR(L7+N7+O7+P7+Q7+R7+S7+T7+U7,0)</f>
        <v/>
      </c>
      <c r="W7" s="38">
        <f>IFERROR(I7-W7,0)</f>
        <v/>
      </c>
      <c r="X7" s="39">
        <f>IFERROR(X7/G7,0)</f>
        <v/>
      </c>
    </row>
    <row r="8">
      <c r="A8" s="34" t="n">
        <v>5</v>
      </c>
      <c r="B8" s="35" t="inlineStr"/>
      <c r="C8" s="35" t="inlineStr"/>
      <c r="D8" s="36" t="inlineStr"/>
      <c r="E8" s="36" t="inlineStr"/>
      <c r="F8" s="37" t="inlineStr"/>
      <c r="G8" s="37" t="inlineStr"/>
      <c r="H8" s="37" t="inlineStr"/>
      <c r="I8" s="38">
        <f>IFERROR(G8-J8,0)</f>
        <v/>
      </c>
      <c r="J8" s="37" t="inlineStr"/>
      <c r="K8" s="37" t="inlineStr"/>
      <c r="L8" s="37" t="inlineStr"/>
      <c r="M8" s="39">
        <f>IFERROR((G8-L8)/G8,0)</f>
        <v/>
      </c>
      <c r="N8" s="37" t="inlineStr"/>
      <c r="O8" s="37" t="inlineStr"/>
      <c r="P8" s="37" t="inlineStr"/>
      <c r="Q8" s="37" t="inlineStr"/>
      <c r="R8" s="37" t="inlineStr"/>
      <c r="S8" s="37" t="inlineStr"/>
      <c r="T8" s="37" t="inlineStr"/>
      <c r="U8" s="37" t="inlineStr"/>
      <c r="V8" s="38">
        <f>IFERROR(L8+N8+O8+P8+Q8+R8+S8+T8+U8,0)</f>
        <v/>
      </c>
      <c r="W8" s="38">
        <f>IFERROR(I8-W8,0)</f>
        <v/>
      </c>
      <c r="X8" s="39">
        <f>IFERROR(X8/G8,0)</f>
        <v/>
      </c>
    </row>
    <row r="9">
      <c r="A9" s="34" t="n">
        <v>6</v>
      </c>
      <c r="B9" s="35" t="inlineStr"/>
      <c r="C9" s="35" t="inlineStr"/>
      <c r="D9" s="36" t="inlineStr"/>
      <c r="E9" s="36" t="inlineStr"/>
      <c r="F9" s="37" t="inlineStr"/>
      <c r="G9" s="37" t="inlineStr"/>
      <c r="H9" s="37" t="inlineStr"/>
      <c r="I9" s="38">
        <f>IFERROR(G9-J9,0)</f>
        <v/>
      </c>
      <c r="J9" s="37" t="inlineStr"/>
      <c r="K9" s="37" t="inlineStr"/>
      <c r="L9" s="37" t="inlineStr"/>
      <c r="M9" s="39">
        <f>IFERROR((G9-L9)/G9,0)</f>
        <v/>
      </c>
      <c r="N9" s="37" t="inlineStr"/>
      <c r="O9" s="37" t="inlineStr"/>
      <c r="P9" s="37" t="inlineStr"/>
      <c r="Q9" s="37" t="inlineStr"/>
      <c r="R9" s="37" t="inlineStr"/>
      <c r="S9" s="37" t="inlineStr"/>
      <c r="T9" s="37" t="inlineStr"/>
      <c r="U9" s="37" t="inlineStr"/>
      <c r="V9" s="38">
        <f>IFERROR(L9+N9+O9+P9+Q9+R9+S9+T9+U9,0)</f>
        <v/>
      </c>
      <c r="W9" s="38">
        <f>IFERROR(I9-W9,0)</f>
        <v/>
      </c>
      <c r="X9" s="39">
        <f>IFERROR(X9/G9,0)</f>
        <v/>
      </c>
    </row>
    <row r="10">
      <c r="A10" s="34" t="n">
        <v>7</v>
      </c>
      <c r="B10" s="35" t="inlineStr"/>
      <c r="C10" s="35" t="inlineStr"/>
      <c r="D10" s="36" t="inlineStr"/>
      <c r="E10" s="36" t="inlineStr"/>
      <c r="F10" s="37" t="inlineStr"/>
      <c r="G10" s="37" t="inlineStr"/>
      <c r="H10" s="37" t="inlineStr"/>
      <c r="I10" s="38">
        <f>IFERROR(G10-J10,0)</f>
        <v/>
      </c>
      <c r="J10" s="37" t="inlineStr"/>
      <c r="K10" s="37" t="inlineStr"/>
      <c r="L10" s="37" t="inlineStr"/>
      <c r="M10" s="39">
        <f>IFERROR((G10-L10)/G10,0)</f>
        <v/>
      </c>
      <c r="N10" s="37" t="inlineStr"/>
      <c r="O10" s="37" t="inlineStr"/>
      <c r="P10" s="37" t="inlineStr"/>
      <c r="Q10" s="37" t="inlineStr"/>
      <c r="R10" s="37" t="inlineStr"/>
      <c r="S10" s="37" t="inlineStr"/>
      <c r="T10" s="37" t="inlineStr"/>
      <c r="U10" s="37" t="inlineStr"/>
      <c r="V10" s="38">
        <f>IFERROR(L10+N10+O10+P10+Q10+R10+S10+T10+U10,0)</f>
        <v/>
      </c>
      <c r="W10" s="38">
        <f>IFERROR(I10-W10,0)</f>
        <v/>
      </c>
      <c r="X10" s="39">
        <f>IFERROR(X10/G10,0)</f>
        <v/>
      </c>
    </row>
    <row r="11">
      <c r="A11" s="34" t="n">
        <v>8</v>
      </c>
      <c r="B11" s="35" t="inlineStr"/>
      <c r="C11" s="35" t="inlineStr"/>
      <c r="D11" s="36" t="inlineStr"/>
      <c r="E11" s="36" t="inlineStr"/>
      <c r="F11" s="37" t="inlineStr"/>
      <c r="G11" s="37" t="inlineStr"/>
      <c r="H11" s="37" t="inlineStr"/>
      <c r="I11" s="38">
        <f>IFERROR(G11-J11,0)</f>
        <v/>
      </c>
      <c r="J11" s="37" t="inlineStr"/>
      <c r="K11" s="37" t="inlineStr"/>
      <c r="L11" s="37" t="inlineStr"/>
      <c r="M11" s="39">
        <f>IFERROR((G11-L11)/G11,0)</f>
        <v/>
      </c>
      <c r="N11" s="37" t="inlineStr"/>
      <c r="O11" s="37" t="inlineStr"/>
      <c r="P11" s="37" t="inlineStr"/>
      <c r="Q11" s="37" t="inlineStr"/>
      <c r="R11" s="37" t="inlineStr"/>
      <c r="S11" s="37" t="inlineStr"/>
      <c r="T11" s="37" t="inlineStr"/>
      <c r="U11" s="37" t="inlineStr"/>
      <c r="V11" s="38">
        <f>IFERROR(L11+N11+O11+P11+Q11+R11+S11+T11+U11,0)</f>
        <v/>
      </c>
      <c r="W11" s="38">
        <f>IFERROR(I11-W11,0)</f>
        <v/>
      </c>
      <c r="X11" s="39">
        <f>IFERROR(X11/G11,0)</f>
        <v/>
      </c>
    </row>
    <row r="12">
      <c r="A12" s="34" t="n">
        <v>9</v>
      </c>
      <c r="B12" s="35" t="inlineStr"/>
      <c r="C12" s="35" t="inlineStr"/>
      <c r="D12" s="36" t="inlineStr"/>
      <c r="E12" s="36" t="inlineStr"/>
      <c r="F12" s="37" t="inlineStr"/>
      <c r="G12" s="37" t="inlineStr"/>
      <c r="H12" s="37" t="inlineStr"/>
      <c r="I12" s="38">
        <f>IFERROR(G12-J12,0)</f>
        <v/>
      </c>
      <c r="J12" s="37" t="inlineStr"/>
      <c r="K12" s="37" t="inlineStr"/>
      <c r="L12" s="37" t="inlineStr"/>
      <c r="M12" s="39">
        <f>IFERROR((G12-L12)/G12,0)</f>
        <v/>
      </c>
      <c r="N12" s="37" t="inlineStr"/>
      <c r="O12" s="37" t="inlineStr"/>
      <c r="P12" s="37" t="inlineStr"/>
      <c r="Q12" s="37" t="inlineStr"/>
      <c r="R12" s="37" t="inlineStr"/>
      <c r="S12" s="37" t="inlineStr"/>
      <c r="T12" s="37" t="inlineStr"/>
      <c r="U12" s="37" t="inlineStr"/>
      <c r="V12" s="38">
        <f>IFERROR(L12+N12+O12+P12+Q12+R12+S12+T12+U12,0)</f>
        <v/>
      </c>
      <c r="W12" s="38">
        <f>IFERROR(I12-W12,0)</f>
        <v/>
      </c>
      <c r="X12" s="39">
        <f>IFERROR(X12/G12,0)</f>
        <v/>
      </c>
    </row>
    <row r="13">
      <c r="A13" s="34" t="n">
        <v>10</v>
      </c>
      <c r="B13" s="35" t="inlineStr"/>
      <c r="C13" s="35" t="inlineStr"/>
      <c r="D13" s="36" t="inlineStr"/>
      <c r="E13" s="36" t="inlineStr"/>
      <c r="F13" s="37" t="inlineStr"/>
      <c r="G13" s="37" t="inlineStr"/>
      <c r="H13" s="37" t="inlineStr"/>
      <c r="I13" s="38">
        <f>IFERROR(G13-J13,0)</f>
        <v/>
      </c>
      <c r="J13" s="37" t="inlineStr"/>
      <c r="K13" s="37" t="inlineStr"/>
      <c r="L13" s="37" t="inlineStr"/>
      <c r="M13" s="39">
        <f>IFERROR((G13-L13)/G13,0)</f>
        <v/>
      </c>
      <c r="N13" s="37" t="inlineStr"/>
      <c r="O13" s="37" t="inlineStr"/>
      <c r="P13" s="37" t="inlineStr"/>
      <c r="Q13" s="37" t="inlineStr"/>
      <c r="R13" s="37" t="inlineStr"/>
      <c r="S13" s="37" t="inlineStr"/>
      <c r="T13" s="37" t="inlineStr"/>
      <c r="U13" s="37" t="inlineStr"/>
      <c r="V13" s="38">
        <f>IFERROR(L13+N13+O13+P13+Q13+R13+S13+T13+U13,0)</f>
        <v/>
      </c>
      <c r="W13" s="38">
        <f>IFERROR(I13-W13,0)</f>
        <v/>
      </c>
      <c r="X13" s="39">
        <f>IFERROR(X13/G13,0)</f>
        <v/>
      </c>
    </row>
    <row r="14">
      <c r="A14" s="34" t="n">
        <v>11</v>
      </c>
      <c r="B14" s="35" t="inlineStr"/>
      <c r="C14" s="35" t="inlineStr"/>
      <c r="D14" s="36" t="inlineStr"/>
      <c r="E14" s="36" t="inlineStr"/>
      <c r="F14" s="37" t="inlineStr"/>
      <c r="G14" s="37" t="inlineStr"/>
      <c r="H14" s="37" t="inlineStr"/>
      <c r="I14" s="38">
        <f>IFERROR(G14-J14,0)</f>
        <v/>
      </c>
      <c r="J14" s="37" t="inlineStr"/>
      <c r="K14" s="37" t="inlineStr"/>
      <c r="L14" s="37" t="inlineStr"/>
      <c r="M14" s="39">
        <f>IFERROR((G14-L14)/G14,0)</f>
        <v/>
      </c>
      <c r="N14" s="37" t="inlineStr"/>
      <c r="O14" s="37" t="inlineStr"/>
      <c r="P14" s="37" t="inlineStr"/>
      <c r="Q14" s="37" t="inlineStr"/>
      <c r="R14" s="37" t="inlineStr"/>
      <c r="S14" s="37" t="inlineStr"/>
      <c r="T14" s="37" t="inlineStr"/>
      <c r="U14" s="37" t="inlineStr"/>
      <c r="V14" s="38">
        <f>IFERROR(L14+N14+O14+P14+Q14+R14+S14+T14+U14,0)</f>
        <v/>
      </c>
      <c r="W14" s="38">
        <f>IFERROR(I14-W14,0)</f>
        <v/>
      </c>
      <c r="X14" s="39">
        <f>IFERROR(X14/G14,0)</f>
        <v/>
      </c>
    </row>
    <row r="15">
      <c r="A15" s="34" t="n">
        <v>12</v>
      </c>
      <c r="B15" s="35" t="inlineStr"/>
      <c r="C15" s="35" t="inlineStr"/>
      <c r="D15" s="36" t="inlineStr"/>
      <c r="E15" s="36" t="inlineStr"/>
      <c r="F15" s="37" t="inlineStr"/>
      <c r="G15" s="37" t="inlineStr"/>
      <c r="H15" s="37" t="inlineStr"/>
      <c r="I15" s="38">
        <f>IFERROR(G15-J15,0)</f>
        <v/>
      </c>
      <c r="J15" s="37" t="inlineStr"/>
      <c r="K15" s="37" t="inlineStr"/>
      <c r="L15" s="37" t="inlineStr"/>
      <c r="M15" s="39">
        <f>IFERROR((G15-L15)/G15,0)</f>
        <v/>
      </c>
      <c r="N15" s="37" t="inlineStr"/>
      <c r="O15" s="37" t="inlineStr"/>
      <c r="P15" s="37" t="inlineStr"/>
      <c r="Q15" s="37" t="inlineStr"/>
      <c r="R15" s="37" t="inlineStr"/>
      <c r="S15" s="37" t="inlineStr"/>
      <c r="T15" s="37" t="inlineStr"/>
      <c r="U15" s="37" t="inlineStr"/>
      <c r="V15" s="38">
        <f>IFERROR(L15+N15+O15+P15+Q15+R15+S15+T15+U15,0)</f>
        <v/>
      </c>
      <c r="W15" s="38">
        <f>IFERROR(I15-W15,0)</f>
        <v/>
      </c>
      <c r="X15" s="39">
        <f>IFERROR(X15/G15,0)</f>
        <v/>
      </c>
    </row>
    <row r="16">
      <c r="A16" s="34" t="n">
        <v>13</v>
      </c>
      <c r="B16" s="35" t="inlineStr"/>
      <c r="C16" s="35" t="inlineStr"/>
      <c r="D16" s="36" t="inlineStr"/>
      <c r="E16" s="36" t="inlineStr"/>
      <c r="F16" s="37" t="inlineStr"/>
      <c r="G16" s="37" t="inlineStr"/>
      <c r="H16" s="37" t="inlineStr"/>
      <c r="I16" s="38">
        <f>IFERROR(G16-J16,0)</f>
        <v/>
      </c>
      <c r="J16" s="37" t="inlineStr"/>
      <c r="K16" s="37" t="inlineStr"/>
      <c r="L16" s="37" t="inlineStr"/>
      <c r="M16" s="39">
        <f>IFERROR((G16-L16)/G16,0)</f>
        <v/>
      </c>
      <c r="N16" s="37" t="inlineStr"/>
      <c r="O16" s="37" t="inlineStr"/>
      <c r="P16" s="37" t="inlineStr"/>
      <c r="Q16" s="37" t="inlineStr"/>
      <c r="R16" s="37" t="inlineStr"/>
      <c r="S16" s="37" t="inlineStr"/>
      <c r="T16" s="37" t="inlineStr"/>
      <c r="U16" s="37" t="inlineStr"/>
      <c r="V16" s="38">
        <f>IFERROR(L16+N16+O16+P16+Q16+R16+S16+T16+U16,0)</f>
        <v/>
      </c>
      <c r="W16" s="38">
        <f>IFERROR(I16-W16,0)</f>
        <v/>
      </c>
      <c r="X16" s="39">
        <f>IFERROR(X16/G16,0)</f>
        <v/>
      </c>
    </row>
    <row r="17">
      <c r="A17" s="34" t="n">
        <v>14</v>
      </c>
      <c r="B17" s="35" t="inlineStr"/>
      <c r="C17" s="35" t="inlineStr"/>
      <c r="D17" s="36" t="inlineStr"/>
      <c r="E17" s="36" t="inlineStr"/>
      <c r="F17" s="37" t="inlineStr"/>
      <c r="G17" s="37" t="inlineStr"/>
      <c r="H17" s="37" t="inlineStr"/>
      <c r="I17" s="38">
        <f>IFERROR(G17-J17,0)</f>
        <v/>
      </c>
      <c r="J17" s="37" t="inlineStr"/>
      <c r="K17" s="37" t="inlineStr"/>
      <c r="L17" s="37" t="inlineStr"/>
      <c r="M17" s="39">
        <f>IFERROR((G17-L17)/G17,0)</f>
        <v/>
      </c>
      <c r="N17" s="37" t="inlineStr"/>
      <c r="O17" s="37" t="inlineStr"/>
      <c r="P17" s="37" t="inlineStr"/>
      <c r="Q17" s="37" t="inlineStr"/>
      <c r="R17" s="37" t="inlineStr"/>
      <c r="S17" s="37" t="inlineStr"/>
      <c r="T17" s="37" t="inlineStr"/>
      <c r="U17" s="37" t="inlineStr"/>
      <c r="V17" s="38">
        <f>IFERROR(L17+N17+O17+P17+Q17+R17+S17+T17+U17,0)</f>
        <v/>
      </c>
      <c r="W17" s="38">
        <f>IFERROR(I17-W17,0)</f>
        <v/>
      </c>
      <c r="X17" s="39">
        <f>IFERROR(X17/G17,0)</f>
        <v/>
      </c>
    </row>
    <row r="18">
      <c r="A18" s="34" t="n">
        <v>15</v>
      </c>
      <c r="B18" s="35" t="inlineStr"/>
      <c r="C18" s="35" t="inlineStr"/>
      <c r="D18" s="36" t="inlineStr"/>
      <c r="E18" s="36" t="inlineStr"/>
      <c r="F18" s="37" t="inlineStr"/>
      <c r="G18" s="37" t="inlineStr"/>
      <c r="H18" s="37" t="inlineStr"/>
      <c r="I18" s="38">
        <f>IFERROR(G18-J18,0)</f>
        <v/>
      </c>
      <c r="J18" s="37" t="inlineStr"/>
      <c r="K18" s="37" t="inlineStr"/>
      <c r="L18" s="37" t="inlineStr"/>
      <c r="M18" s="39">
        <f>IFERROR((G18-L18)/G18,0)</f>
        <v/>
      </c>
      <c r="N18" s="37" t="inlineStr"/>
      <c r="O18" s="37" t="inlineStr"/>
      <c r="P18" s="37" t="inlineStr"/>
      <c r="Q18" s="37" t="inlineStr"/>
      <c r="R18" s="37" t="inlineStr"/>
      <c r="S18" s="37" t="inlineStr"/>
      <c r="T18" s="37" t="inlineStr"/>
      <c r="U18" s="37" t="inlineStr"/>
      <c r="V18" s="38">
        <f>IFERROR(L18+N18+O18+P18+Q18+R18+S18+T18+U18,0)</f>
        <v/>
      </c>
      <c r="W18" s="38">
        <f>IFERROR(I18-W18,0)</f>
        <v/>
      </c>
      <c r="X18" s="39">
        <f>IFERROR(X18/G18,0)</f>
        <v/>
      </c>
    </row>
    <row r="19">
      <c r="A19" s="34" t="n">
        <v>16</v>
      </c>
      <c r="B19" s="35" t="inlineStr"/>
      <c r="C19" s="35" t="inlineStr"/>
      <c r="D19" s="36" t="inlineStr"/>
      <c r="E19" s="36" t="inlineStr"/>
      <c r="F19" s="37" t="inlineStr"/>
      <c r="G19" s="37" t="inlineStr"/>
      <c r="H19" s="37" t="inlineStr"/>
      <c r="I19" s="38">
        <f>IFERROR(G19-J19,0)</f>
        <v/>
      </c>
      <c r="J19" s="37" t="inlineStr"/>
      <c r="K19" s="37" t="inlineStr"/>
      <c r="L19" s="37" t="inlineStr"/>
      <c r="M19" s="39">
        <f>IFERROR((G19-L19)/G19,0)</f>
        <v/>
      </c>
      <c r="N19" s="37" t="inlineStr"/>
      <c r="O19" s="37" t="inlineStr"/>
      <c r="P19" s="37" t="inlineStr"/>
      <c r="Q19" s="37" t="inlineStr"/>
      <c r="R19" s="37" t="inlineStr"/>
      <c r="S19" s="37" t="inlineStr"/>
      <c r="T19" s="37" t="inlineStr"/>
      <c r="U19" s="37" t="inlineStr"/>
      <c r="V19" s="38">
        <f>IFERROR(L19+N19+O19+P19+Q19+R19+S19+T19+U19,0)</f>
        <v/>
      </c>
      <c r="W19" s="38">
        <f>IFERROR(I19-W19,0)</f>
        <v/>
      </c>
      <c r="X19" s="39">
        <f>IFERROR(X19/G19,0)</f>
        <v/>
      </c>
    </row>
    <row r="20">
      <c r="A20" s="34" t="n">
        <v>17</v>
      </c>
      <c r="B20" s="35" t="inlineStr"/>
      <c r="C20" s="35" t="inlineStr"/>
      <c r="D20" s="36" t="inlineStr"/>
      <c r="E20" s="36" t="inlineStr"/>
      <c r="F20" s="37" t="inlineStr"/>
      <c r="G20" s="37" t="inlineStr"/>
      <c r="H20" s="37" t="inlineStr"/>
      <c r="I20" s="38">
        <f>IFERROR(G20-J20,0)</f>
        <v/>
      </c>
      <c r="J20" s="37" t="inlineStr"/>
      <c r="K20" s="37" t="inlineStr"/>
      <c r="L20" s="37" t="inlineStr"/>
      <c r="M20" s="39">
        <f>IFERROR((G20-L20)/G20,0)</f>
        <v/>
      </c>
      <c r="N20" s="37" t="inlineStr"/>
      <c r="O20" s="37" t="inlineStr"/>
      <c r="P20" s="37" t="inlineStr"/>
      <c r="Q20" s="37" t="inlineStr"/>
      <c r="R20" s="37" t="inlineStr"/>
      <c r="S20" s="37" t="inlineStr"/>
      <c r="T20" s="37" t="inlineStr"/>
      <c r="U20" s="37" t="inlineStr"/>
      <c r="V20" s="38">
        <f>IFERROR(L20+N20+O20+P20+Q20+R20+S20+T20+U20,0)</f>
        <v/>
      </c>
      <c r="W20" s="38">
        <f>IFERROR(I20-W20,0)</f>
        <v/>
      </c>
      <c r="X20" s="39">
        <f>IFERROR(X20/G20,0)</f>
        <v/>
      </c>
    </row>
    <row r="21">
      <c r="A21" s="34" t="n">
        <v>18</v>
      </c>
      <c r="B21" s="35" t="inlineStr"/>
      <c r="C21" s="35" t="inlineStr"/>
      <c r="D21" s="36" t="inlineStr"/>
      <c r="E21" s="36" t="inlineStr"/>
      <c r="F21" s="37" t="inlineStr"/>
      <c r="G21" s="37" t="inlineStr"/>
      <c r="H21" s="37" t="inlineStr"/>
      <c r="I21" s="38">
        <f>IFERROR(G21-J21,0)</f>
        <v/>
      </c>
      <c r="J21" s="37" t="inlineStr"/>
      <c r="K21" s="37" t="inlineStr"/>
      <c r="L21" s="37" t="inlineStr"/>
      <c r="M21" s="39">
        <f>IFERROR((G21-L21)/G21,0)</f>
        <v/>
      </c>
      <c r="N21" s="37" t="inlineStr"/>
      <c r="O21" s="37" t="inlineStr"/>
      <c r="P21" s="37" t="inlineStr"/>
      <c r="Q21" s="37" t="inlineStr"/>
      <c r="R21" s="37" t="inlineStr"/>
      <c r="S21" s="37" t="inlineStr"/>
      <c r="T21" s="37" t="inlineStr"/>
      <c r="U21" s="37" t="inlineStr"/>
      <c r="V21" s="38">
        <f>IFERROR(L21+N21+O21+P21+Q21+R21+S21+T21+U21,0)</f>
        <v/>
      </c>
      <c r="W21" s="38">
        <f>IFERROR(I21-W21,0)</f>
        <v/>
      </c>
      <c r="X21" s="39">
        <f>IFERROR(X21/G21,0)</f>
        <v/>
      </c>
    </row>
    <row r="22">
      <c r="A22" s="34" t="n">
        <v>19</v>
      </c>
      <c r="B22" s="35" t="inlineStr"/>
      <c r="C22" s="35" t="inlineStr"/>
      <c r="D22" s="36" t="inlineStr"/>
      <c r="E22" s="36" t="inlineStr"/>
      <c r="F22" s="37" t="inlineStr"/>
      <c r="G22" s="37" t="inlineStr"/>
      <c r="H22" s="37" t="inlineStr"/>
      <c r="I22" s="38">
        <f>IFERROR(G22-J22,0)</f>
        <v/>
      </c>
      <c r="J22" s="37" t="inlineStr"/>
      <c r="K22" s="37" t="inlineStr"/>
      <c r="L22" s="37" t="inlineStr"/>
      <c r="M22" s="39">
        <f>IFERROR((G22-L22)/G22,0)</f>
        <v/>
      </c>
      <c r="N22" s="37" t="inlineStr"/>
      <c r="O22" s="37" t="inlineStr"/>
      <c r="P22" s="37" t="inlineStr"/>
      <c r="Q22" s="37" t="inlineStr"/>
      <c r="R22" s="37" t="inlineStr"/>
      <c r="S22" s="37" t="inlineStr"/>
      <c r="T22" s="37" t="inlineStr"/>
      <c r="U22" s="37" t="inlineStr"/>
      <c r="V22" s="38">
        <f>IFERROR(L22+N22+O22+P22+Q22+R22+S22+T22+U22,0)</f>
        <v/>
      </c>
      <c r="W22" s="38">
        <f>IFERROR(I22-W22,0)</f>
        <v/>
      </c>
      <c r="X22" s="39">
        <f>IFERROR(X22/G22,0)</f>
        <v/>
      </c>
    </row>
    <row r="23">
      <c r="A23" s="34" t="n">
        <v>20</v>
      </c>
      <c r="B23" s="35" t="inlineStr"/>
      <c r="C23" s="35" t="inlineStr"/>
      <c r="D23" s="36" t="inlineStr"/>
      <c r="E23" s="36" t="inlineStr"/>
      <c r="F23" s="37" t="inlineStr"/>
      <c r="G23" s="37" t="inlineStr"/>
      <c r="H23" s="37" t="inlineStr"/>
      <c r="I23" s="38">
        <f>IFERROR(G23-J23,0)</f>
        <v/>
      </c>
      <c r="J23" s="37" t="inlineStr"/>
      <c r="K23" s="37" t="inlineStr"/>
      <c r="L23" s="37" t="inlineStr"/>
      <c r="M23" s="39">
        <f>IFERROR((G23-L23)/G23,0)</f>
        <v/>
      </c>
      <c r="N23" s="37" t="inlineStr"/>
      <c r="O23" s="37" t="inlineStr"/>
      <c r="P23" s="37" t="inlineStr"/>
      <c r="Q23" s="37" t="inlineStr"/>
      <c r="R23" s="37" t="inlineStr"/>
      <c r="S23" s="37" t="inlineStr"/>
      <c r="T23" s="37" t="inlineStr"/>
      <c r="U23" s="37" t="inlineStr"/>
      <c r="V23" s="38">
        <f>IFERROR(L23+N23+O23+P23+Q23+R23+S23+T23+U23,0)</f>
        <v/>
      </c>
      <c r="W23" s="38">
        <f>IFERROR(I23-W23,0)</f>
        <v/>
      </c>
      <c r="X23" s="39">
        <f>IFERROR(X23/G23,0)</f>
        <v/>
      </c>
    </row>
    <row r="24">
      <c r="A24" s="34" t="n">
        <v>21</v>
      </c>
      <c r="B24" s="35" t="inlineStr"/>
      <c r="C24" s="35" t="inlineStr"/>
      <c r="D24" s="36" t="inlineStr"/>
      <c r="E24" s="36" t="inlineStr"/>
      <c r="F24" s="37" t="inlineStr"/>
      <c r="G24" s="37" t="inlineStr"/>
      <c r="H24" s="37" t="inlineStr"/>
      <c r="I24" s="38">
        <f>IFERROR(G24-J24,0)</f>
        <v/>
      </c>
      <c r="J24" s="37" t="inlineStr"/>
      <c r="K24" s="37" t="inlineStr"/>
      <c r="L24" s="37" t="inlineStr"/>
      <c r="M24" s="39">
        <f>IFERROR((G24-L24)/G24,0)</f>
        <v/>
      </c>
      <c r="N24" s="37" t="inlineStr"/>
      <c r="O24" s="37" t="inlineStr"/>
      <c r="P24" s="37" t="inlineStr"/>
      <c r="Q24" s="37" t="inlineStr"/>
      <c r="R24" s="37" t="inlineStr"/>
      <c r="S24" s="37" t="inlineStr"/>
      <c r="T24" s="37" t="inlineStr"/>
      <c r="U24" s="37" t="inlineStr"/>
      <c r="V24" s="38">
        <f>IFERROR(L24+N24+O24+P24+Q24+R24+S24+T24+U24,0)</f>
        <v/>
      </c>
      <c r="W24" s="38">
        <f>IFERROR(I24-W24,0)</f>
        <v/>
      </c>
      <c r="X24" s="39">
        <f>IFERROR(X24/G24,0)</f>
        <v/>
      </c>
    </row>
    <row r="25">
      <c r="A25" s="34" t="n">
        <v>22</v>
      </c>
      <c r="B25" s="35" t="inlineStr"/>
      <c r="C25" s="35" t="inlineStr"/>
      <c r="D25" s="36" t="inlineStr"/>
      <c r="E25" s="36" t="inlineStr"/>
      <c r="F25" s="37" t="inlineStr"/>
      <c r="G25" s="37" t="inlineStr"/>
      <c r="H25" s="37" t="inlineStr"/>
      <c r="I25" s="38">
        <f>IFERROR(G25-J25,0)</f>
        <v/>
      </c>
      <c r="J25" s="37" t="inlineStr"/>
      <c r="K25" s="37" t="inlineStr"/>
      <c r="L25" s="37" t="inlineStr"/>
      <c r="M25" s="39">
        <f>IFERROR((G25-L25)/G25,0)</f>
        <v/>
      </c>
      <c r="N25" s="37" t="inlineStr"/>
      <c r="O25" s="37" t="inlineStr"/>
      <c r="P25" s="37" t="inlineStr"/>
      <c r="Q25" s="37" t="inlineStr"/>
      <c r="R25" s="37" t="inlineStr"/>
      <c r="S25" s="37" t="inlineStr"/>
      <c r="T25" s="37" t="inlineStr"/>
      <c r="U25" s="37" t="inlineStr"/>
      <c r="V25" s="38">
        <f>IFERROR(L25+N25+O25+P25+Q25+R25+S25+T25+U25,0)</f>
        <v/>
      </c>
      <c r="W25" s="38">
        <f>IFERROR(I25-W25,0)</f>
        <v/>
      </c>
      <c r="X25" s="39">
        <f>IFERROR(X25/G25,0)</f>
        <v/>
      </c>
    </row>
    <row r="26">
      <c r="A26" s="34" t="n">
        <v>23</v>
      </c>
      <c r="B26" s="35" t="inlineStr"/>
      <c r="C26" s="35" t="inlineStr"/>
      <c r="D26" s="36" t="inlineStr"/>
      <c r="E26" s="36" t="inlineStr"/>
      <c r="F26" s="37" t="inlineStr"/>
      <c r="G26" s="37" t="inlineStr"/>
      <c r="H26" s="37" t="inlineStr"/>
      <c r="I26" s="38">
        <f>IFERROR(G26-J26,0)</f>
        <v/>
      </c>
      <c r="J26" s="37" t="inlineStr"/>
      <c r="K26" s="37" t="inlineStr"/>
      <c r="L26" s="37" t="inlineStr"/>
      <c r="M26" s="39">
        <f>IFERROR((G26-L26)/G26,0)</f>
        <v/>
      </c>
      <c r="N26" s="37" t="inlineStr"/>
      <c r="O26" s="37" t="inlineStr"/>
      <c r="P26" s="37" t="inlineStr"/>
      <c r="Q26" s="37" t="inlineStr"/>
      <c r="R26" s="37" t="inlineStr"/>
      <c r="S26" s="37" t="inlineStr"/>
      <c r="T26" s="37" t="inlineStr"/>
      <c r="U26" s="37" t="inlineStr"/>
      <c r="V26" s="38">
        <f>IFERROR(L26+N26+O26+P26+Q26+R26+S26+T26+U26,0)</f>
        <v/>
      </c>
      <c r="W26" s="38">
        <f>IFERROR(I26-W26,0)</f>
        <v/>
      </c>
      <c r="X26" s="39">
        <f>IFERROR(X26/G26,0)</f>
        <v/>
      </c>
    </row>
    <row r="27">
      <c r="A27" s="34" t="n">
        <v>24</v>
      </c>
      <c r="B27" s="35" t="inlineStr"/>
      <c r="C27" s="35" t="inlineStr"/>
      <c r="D27" s="36" t="inlineStr"/>
      <c r="E27" s="36" t="inlineStr"/>
      <c r="F27" s="37" t="inlineStr"/>
      <c r="G27" s="37" t="inlineStr"/>
      <c r="H27" s="37" t="inlineStr"/>
      <c r="I27" s="38">
        <f>IFERROR(G27-J27,0)</f>
        <v/>
      </c>
      <c r="J27" s="37" t="inlineStr"/>
      <c r="K27" s="37" t="inlineStr"/>
      <c r="L27" s="37" t="inlineStr"/>
      <c r="M27" s="39">
        <f>IFERROR((G27-L27)/G27,0)</f>
        <v/>
      </c>
      <c r="N27" s="37" t="inlineStr"/>
      <c r="O27" s="37" t="inlineStr"/>
      <c r="P27" s="37" t="inlineStr"/>
      <c r="Q27" s="37" t="inlineStr"/>
      <c r="R27" s="37" t="inlineStr"/>
      <c r="S27" s="37" t="inlineStr"/>
      <c r="T27" s="37" t="inlineStr"/>
      <c r="U27" s="37" t="inlineStr"/>
      <c r="V27" s="38">
        <f>IFERROR(L27+N27+O27+P27+Q27+R27+S27+T27+U27,0)</f>
        <v/>
      </c>
      <c r="W27" s="38">
        <f>IFERROR(I27-W27,0)</f>
        <v/>
      </c>
      <c r="X27" s="39">
        <f>IFERROR(X27/G27,0)</f>
        <v/>
      </c>
    </row>
    <row r="28">
      <c r="A28" s="34" t="n">
        <v>25</v>
      </c>
      <c r="B28" s="35" t="inlineStr"/>
      <c r="C28" s="35" t="inlineStr"/>
      <c r="D28" s="36" t="inlineStr"/>
      <c r="E28" s="36" t="inlineStr"/>
      <c r="F28" s="37" t="inlineStr"/>
      <c r="G28" s="37" t="inlineStr"/>
      <c r="H28" s="37" t="inlineStr"/>
      <c r="I28" s="38">
        <f>IFERROR(G28-J28,0)</f>
        <v/>
      </c>
      <c r="J28" s="37" t="inlineStr"/>
      <c r="K28" s="37" t="inlineStr"/>
      <c r="L28" s="37" t="inlineStr"/>
      <c r="M28" s="39">
        <f>IFERROR((G28-L28)/G28,0)</f>
        <v/>
      </c>
      <c r="N28" s="37" t="inlineStr"/>
      <c r="O28" s="37" t="inlineStr"/>
      <c r="P28" s="37" t="inlineStr"/>
      <c r="Q28" s="37" t="inlineStr"/>
      <c r="R28" s="37" t="inlineStr"/>
      <c r="S28" s="37" t="inlineStr"/>
      <c r="T28" s="37" t="inlineStr"/>
      <c r="U28" s="37" t="inlineStr"/>
      <c r="V28" s="38">
        <f>IFERROR(L28+N28+O28+P28+Q28+R28+S28+T28+U28,0)</f>
        <v/>
      </c>
      <c r="W28" s="38">
        <f>IFERROR(I28-W28,0)</f>
        <v/>
      </c>
      <c r="X28" s="39">
        <f>IFERROR(X28/G28,0)</f>
        <v/>
      </c>
    </row>
    <row r="29">
      <c r="A29" s="34" t="n">
        <v>26</v>
      </c>
      <c r="B29" s="35" t="inlineStr"/>
      <c r="C29" s="35" t="inlineStr"/>
      <c r="D29" s="36" t="inlineStr"/>
      <c r="E29" s="36" t="inlineStr"/>
      <c r="F29" s="37" t="inlineStr"/>
      <c r="G29" s="37" t="inlineStr"/>
      <c r="H29" s="37" t="inlineStr"/>
      <c r="I29" s="38">
        <f>IFERROR(G29-J29,0)</f>
        <v/>
      </c>
      <c r="J29" s="37" t="inlineStr"/>
      <c r="K29" s="37" t="inlineStr"/>
      <c r="L29" s="37" t="inlineStr"/>
      <c r="M29" s="39">
        <f>IFERROR((G29-L29)/G29,0)</f>
        <v/>
      </c>
      <c r="N29" s="37" t="inlineStr"/>
      <c r="O29" s="37" t="inlineStr"/>
      <c r="P29" s="37" t="inlineStr"/>
      <c r="Q29" s="37" t="inlineStr"/>
      <c r="R29" s="37" t="inlineStr"/>
      <c r="S29" s="37" t="inlineStr"/>
      <c r="T29" s="37" t="inlineStr"/>
      <c r="U29" s="37" t="inlineStr"/>
      <c r="V29" s="38">
        <f>IFERROR(L29+N29+O29+P29+Q29+R29+S29+T29+U29,0)</f>
        <v/>
      </c>
      <c r="W29" s="38">
        <f>IFERROR(I29-W29,0)</f>
        <v/>
      </c>
      <c r="X29" s="39">
        <f>IFERROR(X29/G29,0)</f>
        <v/>
      </c>
    </row>
    <row r="30">
      <c r="A30" s="34" t="n">
        <v>27</v>
      </c>
      <c r="B30" s="35" t="inlineStr"/>
      <c r="C30" s="35" t="inlineStr"/>
      <c r="D30" s="36" t="inlineStr"/>
      <c r="E30" s="36" t="inlineStr"/>
      <c r="F30" s="37" t="inlineStr"/>
      <c r="G30" s="37" t="inlineStr"/>
      <c r="H30" s="37" t="inlineStr"/>
      <c r="I30" s="38">
        <f>IFERROR(G30-J30,0)</f>
        <v/>
      </c>
      <c r="J30" s="37" t="inlineStr"/>
      <c r="K30" s="37" t="inlineStr"/>
      <c r="L30" s="37" t="inlineStr"/>
      <c r="M30" s="39">
        <f>IFERROR((G30-L30)/G30,0)</f>
        <v/>
      </c>
      <c r="N30" s="37" t="inlineStr"/>
      <c r="O30" s="37" t="inlineStr"/>
      <c r="P30" s="37" t="inlineStr"/>
      <c r="Q30" s="37" t="inlineStr"/>
      <c r="R30" s="37" t="inlineStr"/>
      <c r="S30" s="37" t="inlineStr"/>
      <c r="T30" s="37" t="inlineStr"/>
      <c r="U30" s="37" t="inlineStr"/>
      <c r="V30" s="38">
        <f>IFERROR(L30+N30+O30+P30+Q30+R30+S30+T30+U30,0)</f>
        <v/>
      </c>
      <c r="W30" s="38">
        <f>IFERROR(I30-W30,0)</f>
        <v/>
      </c>
      <c r="X30" s="39">
        <f>IFERROR(X30/G30,0)</f>
        <v/>
      </c>
    </row>
    <row r="31">
      <c r="A31" s="34" t="n">
        <v>28</v>
      </c>
      <c r="B31" s="35" t="inlineStr"/>
      <c r="C31" s="35" t="inlineStr"/>
      <c r="D31" s="36" t="inlineStr"/>
      <c r="E31" s="36" t="inlineStr"/>
      <c r="F31" s="37" t="inlineStr"/>
      <c r="G31" s="37" t="inlineStr"/>
      <c r="H31" s="37" t="inlineStr"/>
      <c r="I31" s="38">
        <f>IFERROR(G31-J31,0)</f>
        <v/>
      </c>
      <c r="J31" s="37" t="inlineStr"/>
      <c r="K31" s="37" t="inlineStr"/>
      <c r="L31" s="37" t="inlineStr"/>
      <c r="M31" s="39">
        <f>IFERROR((G31-L31)/G31,0)</f>
        <v/>
      </c>
      <c r="N31" s="37" t="inlineStr"/>
      <c r="O31" s="37" t="inlineStr"/>
      <c r="P31" s="37" t="inlineStr"/>
      <c r="Q31" s="37" t="inlineStr"/>
      <c r="R31" s="37" t="inlineStr"/>
      <c r="S31" s="37" t="inlineStr"/>
      <c r="T31" s="37" t="inlineStr"/>
      <c r="U31" s="37" t="inlineStr"/>
      <c r="V31" s="38">
        <f>IFERROR(L31+N31+O31+P31+Q31+R31+S31+T31+U31,0)</f>
        <v/>
      </c>
      <c r="W31" s="38">
        <f>IFERROR(I31-W31,0)</f>
        <v/>
      </c>
      <c r="X31" s="39">
        <f>IFERROR(X31/G31,0)</f>
        <v/>
      </c>
    </row>
    <row r="32">
      <c r="A32" s="34" t="n">
        <v>29</v>
      </c>
      <c r="B32" s="35" t="inlineStr"/>
      <c r="C32" s="35" t="inlineStr"/>
      <c r="D32" s="36" t="inlineStr"/>
      <c r="E32" s="36" t="inlineStr"/>
      <c r="F32" s="37" t="inlineStr"/>
      <c r="G32" s="37" t="inlineStr"/>
      <c r="H32" s="37" t="inlineStr"/>
      <c r="I32" s="38">
        <f>IFERROR(G32-J32,0)</f>
        <v/>
      </c>
      <c r="J32" s="37" t="inlineStr"/>
      <c r="K32" s="37" t="inlineStr"/>
      <c r="L32" s="37" t="inlineStr"/>
      <c r="M32" s="39">
        <f>IFERROR((G32-L32)/G32,0)</f>
        <v/>
      </c>
      <c r="N32" s="37" t="inlineStr"/>
      <c r="O32" s="37" t="inlineStr"/>
      <c r="P32" s="37" t="inlineStr"/>
      <c r="Q32" s="37" t="inlineStr"/>
      <c r="R32" s="37" t="inlineStr"/>
      <c r="S32" s="37" t="inlineStr"/>
      <c r="T32" s="37" t="inlineStr"/>
      <c r="U32" s="37" t="inlineStr"/>
      <c r="V32" s="38">
        <f>IFERROR(L32+N32+O32+P32+Q32+R32+S32+T32+U32,0)</f>
        <v/>
      </c>
      <c r="W32" s="38">
        <f>IFERROR(I32-W32,0)</f>
        <v/>
      </c>
      <c r="X32" s="39">
        <f>IFERROR(X32/G32,0)</f>
        <v/>
      </c>
    </row>
    <row r="33">
      <c r="A33" s="34" t="n">
        <v>30</v>
      </c>
      <c r="B33" s="35" t="inlineStr"/>
      <c r="C33" s="35" t="inlineStr"/>
      <c r="D33" s="36" t="inlineStr"/>
      <c r="E33" s="36" t="inlineStr"/>
      <c r="F33" s="37" t="inlineStr"/>
      <c r="G33" s="37" t="inlineStr"/>
      <c r="H33" s="37" t="inlineStr"/>
      <c r="I33" s="38">
        <f>IFERROR(G33-J33,0)</f>
        <v/>
      </c>
      <c r="J33" s="37" t="inlineStr"/>
      <c r="K33" s="37" t="inlineStr"/>
      <c r="L33" s="37" t="inlineStr"/>
      <c r="M33" s="39">
        <f>IFERROR((G33-L33)/G33,0)</f>
        <v/>
      </c>
      <c r="N33" s="37" t="inlineStr"/>
      <c r="O33" s="37" t="inlineStr"/>
      <c r="P33" s="37" t="inlineStr"/>
      <c r="Q33" s="37" t="inlineStr"/>
      <c r="R33" s="37" t="inlineStr"/>
      <c r="S33" s="37" t="inlineStr"/>
      <c r="T33" s="37" t="inlineStr"/>
      <c r="U33" s="37" t="inlineStr"/>
      <c r="V33" s="38">
        <f>IFERROR(L33+N33+O33+P33+Q33+R33+S33+T33+U33,0)</f>
        <v/>
      </c>
      <c r="W33" s="38">
        <f>IFERROR(I33-W33,0)</f>
        <v/>
      </c>
      <c r="X33" s="39">
        <f>IFERROR(X33/G33,0)</f>
        <v/>
      </c>
    </row>
    <row r="34">
      <c r="A34" s="34" t="n">
        <v>31</v>
      </c>
      <c r="B34" s="35" t="inlineStr"/>
      <c r="C34" s="35" t="inlineStr"/>
      <c r="D34" s="36" t="inlineStr"/>
      <c r="E34" s="36" t="inlineStr"/>
      <c r="F34" s="37" t="inlineStr"/>
      <c r="G34" s="37" t="inlineStr"/>
      <c r="H34" s="37" t="inlineStr"/>
      <c r="I34" s="38">
        <f>IFERROR(G34-J34,0)</f>
        <v/>
      </c>
      <c r="J34" s="37" t="inlineStr"/>
      <c r="K34" s="37" t="inlineStr"/>
      <c r="L34" s="37" t="inlineStr"/>
      <c r="M34" s="39">
        <f>IFERROR((G34-L34)/G34,0)</f>
        <v/>
      </c>
      <c r="N34" s="37" t="inlineStr"/>
      <c r="O34" s="37" t="inlineStr"/>
      <c r="P34" s="37" t="inlineStr"/>
      <c r="Q34" s="37" t="inlineStr"/>
      <c r="R34" s="37" t="inlineStr"/>
      <c r="S34" s="37" t="inlineStr"/>
      <c r="T34" s="37" t="inlineStr"/>
      <c r="U34" s="37" t="inlineStr"/>
      <c r="V34" s="38">
        <f>IFERROR(L34+N34+O34+P34+Q34+R34+S34+T34+U34,0)</f>
        <v/>
      </c>
      <c r="W34" s="38">
        <f>IFERROR(I34-W34,0)</f>
        <v/>
      </c>
      <c r="X34" s="39">
        <f>IFERROR(X34/G34,0)</f>
        <v/>
      </c>
    </row>
    <row r="35">
      <c r="A35" s="34" t="n">
        <v>32</v>
      </c>
      <c r="B35" s="35" t="inlineStr"/>
      <c r="C35" s="35" t="inlineStr"/>
      <c r="D35" s="36" t="inlineStr"/>
      <c r="E35" s="36" t="inlineStr"/>
      <c r="F35" s="37" t="inlineStr"/>
      <c r="G35" s="37" t="inlineStr"/>
      <c r="H35" s="37" t="inlineStr"/>
      <c r="I35" s="38">
        <f>IFERROR(G35-J35,0)</f>
        <v/>
      </c>
      <c r="J35" s="37" t="inlineStr"/>
      <c r="K35" s="37" t="inlineStr"/>
      <c r="L35" s="37" t="inlineStr"/>
      <c r="M35" s="39">
        <f>IFERROR((G35-L35)/G35,0)</f>
        <v/>
      </c>
      <c r="N35" s="37" t="inlineStr"/>
      <c r="O35" s="37" t="inlineStr"/>
      <c r="P35" s="37" t="inlineStr"/>
      <c r="Q35" s="37" t="inlineStr"/>
      <c r="R35" s="37" t="inlineStr"/>
      <c r="S35" s="37" t="inlineStr"/>
      <c r="T35" s="37" t="inlineStr"/>
      <c r="U35" s="37" t="inlineStr"/>
      <c r="V35" s="38">
        <f>IFERROR(L35+N35+O35+P35+Q35+R35+S35+T35+U35,0)</f>
        <v/>
      </c>
      <c r="W35" s="38">
        <f>IFERROR(I35-W35,0)</f>
        <v/>
      </c>
      <c r="X35" s="39">
        <f>IFERROR(X35/G35,0)</f>
        <v/>
      </c>
    </row>
    <row r="36">
      <c r="A36" s="34" t="n">
        <v>33</v>
      </c>
      <c r="B36" s="35" t="inlineStr"/>
      <c r="C36" s="35" t="inlineStr"/>
      <c r="D36" s="36" t="inlineStr"/>
      <c r="E36" s="36" t="inlineStr"/>
      <c r="F36" s="37" t="inlineStr"/>
      <c r="G36" s="37" t="inlineStr"/>
      <c r="H36" s="37" t="inlineStr"/>
      <c r="I36" s="38">
        <f>IFERROR(G36-J36,0)</f>
        <v/>
      </c>
      <c r="J36" s="37" t="inlineStr"/>
      <c r="K36" s="37" t="inlineStr"/>
      <c r="L36" s="37" t="inlineStr"/>
      <c r="M36" s="39">
        <f>IFERROR((G36-L36)/G36,0)</f>
        <v/>
      </c>
      <c r="N36" s="37" t="inlineStr"/>
      <c r="O36" s="37" t="inlineStr"/>
      <c r="P36" s="37" t="inlineStr"/>
      <c r="Q36" s="37" t="inlineStr"/>
      <c r="R36" s="37" t="inlineStr"/>
      <c r="S36" s="37" t="inlineStr"/>
      <c r="T36" s="37" t="inlineStr"/>
      <c r="U36" s="37" t="inlineStr"/>
      <c r="V36" s="38">
        <f>IFERROR(L36+N36+O36+P36+Q36+R36+S36+T36+U36,0)</f>
        <v/>
      </c>
      <c r="W36" s="38">
        <f>IFERROR(I36-W36,0)</f>
        <v/>
      </c>
      <c r="X36" s="39">
        <f>IFERROR(X36/G36,0)</f>
        <v/>
      </c>
    </row>
    <row r="37">
      <c r="A37" s="34" t="n">
        <v>34</v>
      </c>
      <c r="B37" s="35" t="inlineStr"/>
      <c r="C37" s="35" t="inlineStr"/>
      <c r="D37" s="36" t="inlineStr"/>
      <c r="E37" s="36" t="inlineStr"/>
      <c r="F37" s="37" t="inlineStr"/>
      <c r="G37" s="37" t="inlineStr"/>
      <c r="H37" s="37" t="inlineStr"/>
      <c r="I37" s="38">
        <f>IFERROR(G37-J37,0)</f>
        <v/>
      </c>
      <c r="J37" s="37" t="inlineStr"/>
      <c r="K37" s="37" t="inlineStr"/>
      <c r="L37" s="37" t="inlineStr"/>
      <c r="M37" s="39">
        <f>IFERROR((G37-L37)/G37,0)</f>
        <v/>
      </c>
      <c r="N37" s="37" t="inlineStr"/>
      <c r="O37" s="37" t="inlineStr"/>
      <c r="P37" s="37" t="inlineStr"/>
      <c r="Q37" s="37" t="inlineStr"/>
      <c r="R37" s="37" t="inlineStr"/>
      <c r="S37" s="37" t="inlineStr"/>
      <c r="T37" s="37" t="inlineStr"/>
      <c r="U37" s="37" t="inlineStr"/>
      <c r="V37" s="38">
        <f>IFERROR(L37+N37+O37+P37+Q37+R37+S37+T37+U37,0)</f>
        <v/>
      </c>
      <c r="W37" s="38">
        <f>IFERROR(I37-W37,0)</f>
        <v/>
      </c>
      <c r="X37" s="39">
        <f>IFERROR(X37/G37,0)</f>
        <v/>
      </c>
    </row>
    <row r="38">
      <c r="A38" s="34" t="n">
        <v>35</v>
      </c>
      <c r="B38" s="35" t="inlineStr"/>
      <c r="C38" s="35" t="inlineStr"/>
      <c r="D38" s="36" t="inlineStr"/>
      <c r="E38" s="36" t="inlineStr"/>
      <c r="F38" s="37" t="inlineStr"/>
      <c r="G38" s="37" t="inlineStr"/>
      <c r="H38" s="37" t="inlineStr"/>
      <c r="I38" s="38">
        <f>IFERROR(G38-J38,0)</f>
        <v/>
      </c>
      <c r="J38" s="37" t="inlineStr"/>
      <c r="K38" s="37" t="inlineStr"/>
      <c r="L38" s="37" t="inlineStr"/>
      <c r="M38" s="39">
        <f>IFERROR((G38-L38)/G38,0)</f>
        <v/>
      </c>
      <c r="N38" s="37" t="inlineStr"/>
      <c r="O38" s="37" t="inlineStr"/>
      <c r="P38" s="37" t="inlineStr"/>
      <c r="Q38" s="37" t="inlineStr"/>
      <c r="R38" s="37" t="inlineStr"/>
      <c r="S38" s="37" t="inlineStr"/>
      <c r="T38" s="37" t="inlineStr"/>
      <c r="U38" s="37" t="inlineStr"/>
      <c r="V38" s="38">
        <f>IFERROR(L38+N38+O38+P38+Q38+R38+S38+T38+U38,0)</f>
        <v/>
      </c>
      <c r="W38" s="38">
        <f>IFERROR(I38-W38,0)</f>
        <v/>
      </c>
      <c r="X38" s="39">
        <f>IFERROR(X38/G38,0)</f>
        <v/>
      </c>
    </row>
    <row r="39">
      <c r="A39" s="34" t="n">
        <v>36</v>
      </c>
      <c r="B39" s="35" t="inlineStr"/>
      <c r="C39" s="35" t="inlineStr"/>
      <c r="D39" s="36" t="inlineStr"/>
      <c r="E39" s="36" t="inlineStr"/>
      <c r="F39" s="37" t="inlineStr"/>
      <c r="G39" s="37" t="inlineStr"/>
      <c r="H39" s="37" t="inlineStr"/>
      <c r="I39" s="38">
        <f>IFERROR(G39-J39,0)</f>
        <v/>
      </c>
      <c r="J39" s="37" t="inlineStr"/>
      <c r="K39" s="37" t="inlineStr"/>
      <c r="L39" s="37" t="inlineStr"/>
      <c r="M39" s="39">
        <f>IFERROR((G39-L39)/G39,0)</f>
        <v/>
      </c>
      <c r="N39" s="37" t="inlineStr"/>
      <c r="O39" s="37" t="inlineStr"/>
      <c r="P39" s="37" t="inlineStr"/>
      <c r="Q39" s="37" t="inlineStr"/>
      <c r="R39" s="37" t="inlineStr"/>
      <c r="S39" s="37" t="inlineStr"/>
      <c r="T39" s="37" t="inlineStr"/>
      <c r="U39" s="37" t="inlineStr"/>
      <c r="V39" s="38">
        <f>IFERROR(L39+N39+O39+P39+Q39+R39+S39+T39+U39,0)</f>
        <v/>
      </c>
      <c r="W39" s="38">
        <f>IFERROR(I39-W39,0)</f>
        <v/>
      </c>
      <c r="X39" s="39">
        <f>IFERROR(X39/G39,0)</f>
        <v/>
      </c>
    </row>
    <row r="40">
      <c r="A40" s="34" t="n">
        <v>37</v>
      </c>
      <c r="B40" s="35" t="inlineStr"/>
      <c r="C40" s="35" t="inlineStr"/>
      <c r="D40" s="36" t="inlineStr"/>
      <c r="E40" s="36" t="inlineStr"/>
      <c r="F40" s="37" t="inlineStr"/>
      <c r="G40" s="37" t="inlineStr"/>
      <c r="H40" s="37" t="inlineStr"/>
      <c r="I40" s="38">
        <f>IFERROR(G40-J40,0)</f>
        <v/>
      </c>
      <c r="J40" s="37" t="inlineStr"/>
      <c r="K40" s="37" t="inlineStr"/>
      <c r="L40" s="37" t="inlineStr"/>
      <c r="M40" s="39">
        <f>IFERROR((G40-L40)/G40,0)</f>
        <v/>
      </c>
      <c r="N40" s="37" t="inlineStr"/>
      <c r="O40" s="37" t="inlineStr"/>
      <c r="P40" s="37" t="inlineStr"/>
      <c r="Q40" s="37" t="inlineStr"/>
      <c r="R40" s="37" t="inlineStr"/>
      <c r="S40" s="37" t="inlineStr"/>
      <c r="T40" s="37" t="inlineStr"/>
      <c r="U40" s="37" t="inlineStr"/>
      <c r="V40" s="38">
        <f>IFERROR(L40+N40+O40+P40+Q40+R40+S40+T40+U40,0)</f>
        <v/>
      </c>
      <c r="W40" s="38">
        <f>IFERROR(I40-W40,0)</f>
        <v/>
      </c>
      <c r="X40" s="39">
        <f>IFERROR(X40/G40,0)</f>
        <v/>
      </c>
    </row>
    <row r="41">
      <c r="A41" s="34" t="n">
        <v>38</v>
      </c>
      <c r="B41" s="35" t="inlineStr"/>
      <c r="C41" s="35" t="inlineStr"/>
      <c r="D41" s="36" t="inlineStr"/>
      <c r="E41" s="36" t="inlineStr"/>
      <c r="F41" s="37" t="inlineStr"/>
      <c r="G41" s="37" t="inlineStr"/>
      <c r="H41" s="37" t="inlineStr"/>
      <c r="I41" s="38">
        <f>IFERROR(G41-J41,0)</f>
        <v/>
      </c>
      <c r="J41" s="37" t="inlineStr"/>
      <c r="K41" s="37" t="inlineStr"/>
      <c r="L41" s="37" t="inlineStr"/>
      <c r="M41" s="39">
        <f>IFERROR((G41-L41)/G41,0)</f>
        <v/>
      </c>
      <c r="N41" s="37" t="inlineStr"/>
      <c r="O41" s="37" t="inlineStr"/>
      <c r="P41" s="37" t="inlineStr"/>
      <c r="Q41" s="37" t="inlineStr"/>
      <c r="R41" s="37" t="inlineStr"/>
      <c r="S41" s="37" t="inlineStr"/>
      <c r="T41" s="37" t="inlineStr"/>
      <c r="U41" s="37" t="inlineStr"/>
      <c r="V41" s="38">
        <f>IFERROR(L41+N41+O41+P41+Q41+R41+S41+T41+U41,0)</f>
        <v/>
      </c>
      <c r="W41" s="38">
        <f>IFERROR(I41-W41,0)</f>
        <v/>
      </c>
      <c r="X41" s="39">
        <f>IFERROR(X41/G41,0)</f>
        <v/>
      </c>
    </row>
    <row r="42">
      <c r="A42" s="34" t="n">
        <v>39</v>
      </c>
      <c r="B42" s="35" t="inlineStr"/>
      <c r="C42" s="35" t="inlineStr"/>
      <c r="D42" s="36" t="inlineStr"/>
      <c r="E42" s="36" t="inlineStr"/>
      <c r="F42" s="37" t="inlineStr"/>
      <c r="G42" s="37" t="inlineStr"/>
      <c r="H42" s="37" t="inlineStr"/>
      <c r="I42" s="38">
        <f>IFERROR(G42-J42,0)</f>
        <v/>
      </c>
      <c r="J42" s="37" t="inlineStr"/>
      <c r="K42" s="37" t="inlineStr"/>
      <c r="L42" s="37" t="inlineStr"/>
      <c r="M42" s="39">
        <f>IFERROR((G42-L42)/G42,0)</f>
        <v/>
      </c>
      <c r="N42" s="37" t="inlineStr"/>
      <c r="O42" s="37" t="inlineStr"/>
      <c r="P42" s="37" t="inlineStr"/>
      <c r="Q42" s="37" t="inlineStr"/>
      <c r="R42" s="37" t="inlineStr"/>
      <c r="S42" s="37" t="inlineStr"/>
      <c r="T42" s="37" t="inlineStr"/>
      <c r="U42" s="37" t="inlineStr"/>
      <c r="V42" s="38">
        <f>IFERROR(L42+N42+O42+P42+Q42+R42+S42+T42+U42,0)</f>
        <v/>
      </c>
      <c r="W42" s="38">
        <f>IFERROR(I42-W42,0)</f>
        <v/>
      </c>
      <c r="X42" s="39">
        <f>IFERROR(X42/G42,0)</f>
        <v/>
      </c>
    </row>
    <row r="43">
      <c r="A43" s="34" t="n">
        <v>40</v>
      </c>
      <c r="B43" s="35" t="inlineStr"/>
      <c r="C43" s="35" t="inlineStr"/>
      <c r="D43" s="36" t="inlineStr"/>
      <c r="E43" s="36" t="inlineStr"/>
      <c r="F43" s="37" t="inlineStr"/>
      <c r="G43" s="37" t="inlineStr"/>
      <c r="H43" s="37" t="inlineStr"/>
      <c r="I43" s="38">
        <f>IFERROR(G43-J43,0)</f>
        <v/>
      </c>
      <c r="J43" s="37" t="inlineStr"/>
      <c r="K43" s="37" t="inlineStr"/>
      <c r="L43" s="37" t="inlineStr"/>
      <c r="M43" s="39">
        <f>IFERROR((G43-L43)/G43,0)</f>
        <v/>
      </c>
      <c r="N43" s="37" t="inlineStr"/>
      <c r="O43" s="37" t="inlineStr"/>
      <c r="P43" s="37" t="inlineStr"/>
      <c r="Q43" s="37" t="inlineStr"/>
      <c r="R43" s="37" t="inlineStr"/>
      <c r="S43" s="37" t="inlineStr"/>
      <c r="T43" s="37" t="inlineStr"/>
      <c r="U43" s="37" t="inlineStr"/>
      <c r="V43" s="38">
        <f>IFERROR(L43+N43+O43+P43+Q43+R43+S43+T43+U43,0)</f>
        <v/>
      </c>
      <c r="W43" s="38">
        <f>IFERROR(I43-W43,0)</f>
        <v/>
      </c>
      <c r="X43" s="39">
        <f>IFERROR(X43/G43,0)</f>
        <v/>
      </c>
    </row>
    <row r="44">
      <c r="A44" s="34" t="n">
        <v>41</v>
      </c>
      <c r="B44" s="35" t="inlineStr"/>
      <c r="C44" s="35" t="inlineStr"/>
      <c r="D44" s="36" t="inlineStr"/>
      <c r="E44" s="36" t="inlineStr"/>
      <c r="F44" s="37" t="inlineStr"/>
      <c r="G44" s="37" t="inlineStr"/>
      <c r="H44" s="37" t="inlineStr"/>
      <c r="I44" s="38">
        <f>IFERROR(G44-J44,0)</f>
        <v/>
      </c>
      <c r="J44" s="37" t="inlineStr"/>
      <c r="K44" s="37" t="inlineStr"/>
      <c r="L44" s="37" t="inlineStr"/>
      <c r="M44" s="39">
        <f>IFERROR((G44-L44)/G44,0)</f>
        <v/>
      </c>
      <c r="N44" s="37" t="inlineStr"/>
      <c r="O44" s="37" t="inlineStr"/>
      <c r="P44" s="37" t="inlineStr"/>
      <c r="Q44" s="37" t="inlineStr"/>
      <c r="R44" s="37" t="inlineStr"/>
      <c r="S44" s="37" t="inlineStr"/>
      <c r="T44" s="37" t="inlineStr"/>
      <c r="U44" s="37" t="inlineStr"/>
      <c r="V44" s="38">
        <f>IFERROR(L44+N44+O44+P44+Q44+R44+S44+T44+U44,0)</f>
        <v/>
      </c>
      <c r="W44" s="38">
        <f>IFERROR(I44-W44,0)</f>
        <v/>
      </c>
      <c r="X44" s="39">
        <f>IFERROR(X44/G44,0)</f>
        <v/>
      </c>
    </row>
    <row r="45">
      <c r="A45" s="34" t="n">
        <v>42</v>
      </c>
      <c r="B45" s="35" t="inlineStr"/>
      <c r="C45" s="35" t="inlineStr"/>
      <c r="D45" s="36" t="inlineStr"/>
      <c r="E45" s="36" t="inlineStr"/>
      <c r="F45" s="37" t="inlineStr"/>
      <c r="G45" s="37" t="inlineStr"/>
      <c r="H45" s="37" t="inlineStr"/>
      <c r="I45" s="38">
        <f>IFERROR(G45-J45,0)</f>
        <v/>
      </c>
      <c r="J45" s="37" t="inlineStr"/>
      <c r="K45" s="37" t="inlineStr"/>
      <c r="L45" s="37" t="inlineStr"/>
      <c r="M45" s="39">
        <f>IFERROR((G45-L45)/G45,0)</f>
        <v/>
      </c>
      <c r="N45" s="37" t="inlineStr"/>
      <c r="O45" s="37" t="inlineStr"/>
      <c r="P45" s="37" t="inlineStr"/>
      <c r="Q45" s="37" t="inlineStr"/>
      <c r="R45" s="37" t="inlineStr"/>
      <c r="S45" s="37" t="inlineStr"/>
      <c r="T45" s="37" t="inlineStr"/>
      <c r="U45" s="37" t="inlineStr"/>
      <c r="V45" s="38">
        <f>IFERROR(L45+N45+O45+P45+Q45+R45+S45+T45+U45,0)</f>
        <v/>
      </c>
      <c r="W45" s="38">
        <f>IFERROR(I45-W45,0)</f>
        <v/>
      </c>
      <c r="X45" s="39">
        <f>IFERROR(X45/G45,0)</f>
        <v/>
      </c>
    </row>
    <row r="46">
      <c r="A46" s="34" t="n">
        <v>43</v>
      </c>
      <c r="B46" s="35" t="inlineStr"/>
      <c r="C46" s="35" t="inlineStr"/>
      <c r="D46" s="36" t="inlineStr"/>
      <c r="E46" s="36" t="inlineStr"/>
      <c r="F46" s="37" t="inlineStr"/>
      <c r="G46" s="37" t="inlineStr"/>
      <c r="H46" s="37" t="inlineStr"/>
      <c r="I46" s="38">
        <f>IFERROR(G46-J46,0)</f>
        <v/>
      </c>
      <c r="J46" s="37" t="inlineStr"/>
      <c r="K46" s="37" t="inlineStr"/>
      <c r="L46" s="37" t="inlineStr"/>
      <c r="M46" s="39">
        <f>IFERROR((G46-L46)/G46,0)</f>
        <v/>
      </c>
      <c r="N46" s="37" t="inlineStr"/>
      <c r="O46" s="37" t="inlineStr"/>
      <c r="P46" s="37" t="inlineStr"/>
      <c r="Q46" s="37" t="inlineStr"/>
      <c r="R46" s="37" t="inlineStr"/>
      <c r="S46" s="37" t="inlineStr"/>
      <c r="T46" s="37" t="inlineStr"/>
      <c r="U46" s="37" t="inlineStr"/>
      <c r="V46" s="38">
        <f>IFERROR(L46+N46+O46+P46+Q46+R46+S46+T46+U46,0)</f>
        <v/>
      </c>
      <c r="W46" s="38">
        <f>IFERROR(I46-W46,0)</f>
        <v/>
      </c>
      <c r="X46" s="39">
        <f>IFERROR(X46/G46,0)</f>
        <v/>
      </c>
    </row>
    <row r="47">
      <c r="A47" s="34" t="n">
        <v>44</v>
      </c>
      <c r="B47" s="35" t="inlineStr"/>
      <c r="C47" s="35" t="inlineStr"/>
      <c r="D47" s="36" t="inlineStr"/>
      <c r="E47" s="36" t="inlineStr"/>
      <c r="F47" s="37" t="inlineStr"/>
      <c r="G47" s="37" t="inlineStr"/>
      <c r="H47" s="37" t="inlineStr"/>
      <c r="I47" s="38">
        <f>IFERROR(G47-J47,0)</f>
        <v/>
      </c>
      <c r="J47" s="37" t="inlineStr"/>
      <c r="K47" s="37" t="inlineStr"/>
      <c r="L47" s="37" t="inlineStr"/>
      <c r="M47" s="39">
        <f>IFERROR((G47-L47)/G47,0)</f>
        <v/>
      </c>
      <c r="N47" s="37" t="inlineStr"/>
      <c r="O47" s="37" t="inlineStr"/>
      <c r="P47" s="37" t="inlineStr"/>
      <c r="Q47" s="37" t="inlineStr"/>
      <c r="R47" s="37" t="inlineStr"/>
      <c r="S47" s="37" t="inlineStr"/>
      <c r="T47" s="37" t="inlineStr"/>
      <c r="U47" s="37" t="inlineStr"/>
      <c r="V47" s="38">
        <f>IFERROR(L47+N47+O47+P47+Q47+R47+S47+T47+U47,0)</f>
        <v/>
      </c>
      <c r="W47" s="38">
        <f>IFERROR(I47-W47,0)</f>
        <v/>
      </c>
      <c r="X47" s="39">
        <f>IFERROR(X47/G47,0)</f>
        <v/>
      </c>
    </row>
    <row r="48">
      <c r="A48" s="34" t="n">
        <v>45</v>
      </c>
      <c r="B48" s="35" t="inlineStr"/>
      <c r="C48" s="35" t="inlineStr"/>
      <c r="D48" s="36" t="inlineStr"/>
      <c r="E48" s="36" t="inlineStr"/>
      <c r="F48" s="37" t="inlineStr"/>
      <c r="G48" s="37" t="inlineStr"/>
      <c r="H48" s="37" t="inlineStr"/>
      <c r="I48" s="38">
        <f>IFERROR(G48-J48,0)</f>
        <v/>
      </c>
      <c r="J48" s="37" t="inlineStr"/>
      <c r="K48" s="37" t="inlineStr"/>
      <c r="L48" s="37" t="inlineStr"/>
      <c r="M48" s="39">
        <f>IFERROR((G48-L48)/G48,0)</f>
        <v/>
      </c>
      <c r="N48" s="37" t="inlineStr"/>
      <c r="O48" s="37" t="inlineStr"/>
      <c r="P48" s="37" t="inlineStr"/>
      <c r="Q48" s="37" t="inlineStr"/>
      <c r="R48" s="37" t="inlineStr"/>
      <c r="S48" s="37" t="inlineStr"/>
      <c r="T48" s="37" t="inlineStr"/>
      <c r="U48" s="37" t="inlineStr"/>
      <c r="V48" s="38">
        <f>IFERROR(L48+N48+O48+P48+Q48+R48+S48+T48+U48,0)</f>
        <v/>
      </c>
      <c r="W48" s="38">
        <f>IFERROR(I48-W48,0)</f>
        <v/>
      </c>
      <c r="X48" s="39">
        <f>IFERROR(X48/G48,0)</f>
        <v/>
      </c>
    </row>
    <row r="49">
      <c r="A49" s="34" t="n">
        <v>46</v>
      </c>
      <c r="B49" s="35" t="inlineStr"/>
      <c r="C49" s="35" t="inlineStr"/>
      <c r="D49" s="36" t="inlineStr"/>
      <c r="E49" s="36" t="inlineStr"/>
      <c r="F49" s="37" t="inlineStr"/>
      <c r="G49" s="37" t="inlineStr"/>
      <c r="H49" s="37" t="inlineStr"/>
      <c r="I49" s="38">
        <f>IFERROR(G49-J49,0)</f>
        <v/>
      </c>
      <c r="J49" s="37" t="inlineStr"/>
      <c r="K49" s="37" t="inlineStr"/>
      <c r="L49" s="37" t="inlineStr"/>
      <c r="M49" s="39">
        <f>IFERROR((G49-L49)/G49,0)</f>
        <v/>
      </c>
      <c r="N49" s="37" t="inlineStr"/>
      <c r="O49" s="37" t="inlineStr"/>
      <c r="P49" s="37" t="inlineStr"/>
      <c r="Q49" s="37" t="inlineStr"/>
      <c r="R49" s="37" t="inlineStr"/>
      <c r="S49" s="37" t="inlineStr"/>
      <c r="T49" s="37" t="inlineStr"/>
      <c r="U49" s="37" t="inlineStr"/>
      <c r="V49" s="38">
        <f>IFERROR(L49+N49+O49+P49+Q49+R49+S49+T49+U49,0)</f>
        <v/>
      </c>
      <c r="W49" s="38">
        <f>IFERROR(I49-W49,0)</f>
        <v/>
      </c>
      <c r="X49" s="39">
        <f>IFERROR(X49/G49,0)</f>
        <v/>
      </c>
    </row>
    <row r="50">
      <c r="A50" s="34" t="n">
        <v>47</v>
      </c>
      <c r="B50" s="35" t="inlineStr"/>
      <c r="C50" s="35" t="inlineStr"/>
      <c r="D50" s="36" t="inlineStr"/>
      <c r="E50" s="36" t="inlineStr"/>
      <c r="F50" s="37" t="inlineStr"/>
      <c r="G50" s="37" t="inlineStr"/>
      <c r="H50" s="37" t="inlineStr"/>
      <c r="I50" s="38">
        <f>IFERROR(G50-J50,0)</f>
        <v/>
      </c>
      <c r="J50" s="37" t="inlineStr"/>
      <c r="K50" s="37" t="inlineStr"/>
      <c r="L50" s="37" t="inlineStr"/>
      <c r="M50" s="39">
        <f>IFERROR((G50-L50)/G50,0)</f>
        <v/>
      </c>
      <c r="N50" s="37" t="inlineStr"/>
      <c r="O50" s="37" t="inlineStr"/>
      <c r="P50" s="37" t="inlineStr"/>
      <c r="Q50" s="37" t="inlineStr"/>
      <c r="R50" s="37" t="inlineStr"/>
      <c r="S50" s="37" t="inlineStr"/>
      <c r="T50" s="37" t="inlineStr"/>
      <c r="U50" s="37" t="inlineStr"/>
      <c r="V50" s="38">
        <f>IFERROR(L50+N50+O50+P50+Q50+R50+S50+T50+U50,0)</f>
        <v/>
      </c>
      <c r="W50" s="38">
        <f>IFERROR(I50-W50,0)</f>
        <v/>
      </c>
      <c r="X50" s="39">
        <f>IFERROR(X50/G50,0)</f>
        <v/>
      </c>
    </row>
    <row r="51">
      <c r="A51" s="34" t="n">
        <v>48</v>
      </c>
      <c r="B51" s="35" t="inlineStr"/>
      <c r="C51" s="35" t="inlineStr"/>
      <c r="D51" s="36" t="inlineStr"/>
      <c r="E51" s="36" t="inlineStr"/>
      <c r="F51" s="37" t="inlineStr"/>
      <c r="G51" s="37" t="inlineStr"/>
      <c r="H51" s="37" t="inlineStr"/>
      <c r="I51" s="38">
        <f>IFERROR(G51-J51,0)</f>
        <v/>
      </c>
      <c r="J51" s="37" t="inlineStr"/>
      <c r="K51" s="37" t="inlineStr"/>
      <c r="L51" s="37" t="inlineStr"/>
      <c r="M51" s="39">
        <f>IFERROR((G51-L51)/G51,0)</f>
        <v/>
      </c>
      <c r="N51" s="37" t="inlineStr"/>
      <c r="O51" s="37" t="inlineStr"/>
      <c r="P51" s="37" t="inlineStr"/>
      <c r="Q51" s="37" t="inlineStr"/>
      <c r="R51" s="37" t="inlineStr"/>
      <c r="S51" s="37" t="inlineStr"/>
      <c r="T51" s="37" t="inlineStr"/>
      <c r="U51" s="37" t="inlineStr"/>
      <c r="V51" s="38">
        <f>IFERROR(L51+N51+O51+P51+Q51+R51+S51+T51+U51,0)</f>
        <v/>
      </c>
      <c r="W51" s="38">
        <f>IFERROR(I51-W51,0)</f>
        <v/>
      </c>
      <c r="X51" s="39">
        <f>IFERROR(X51/G51,0)</f>
        <v/>
      </c>
    </row>
    <row r="52">
      <c r="A52" s="34" t="n">
        <v>49</v>
      </c>
      <c r="B52" s="35" t="inlineStr"/>
      <c r="C52" s="35" t="inlineStr"/>
      <c r="D52" s="36" t="inlineStr"/>
      <c r="E52" s="36" t="inlineStr"/>
      <c r="F52" s="37" t="inlineStr"/>
      <c r="G52" s="37" t="inlineStr"/>
      <c r="H52" s="37" t="inlineStr"/>
      <c r="I52" s="38">
        <f>IFERROR(G52-J52,0)</f>
        <v/>
      </c>
      <c r="J52" s="37" t="inlineStr"/>
      <c r="K52" s="37" t="inlineStr"/>
      <c r="L52" s="37" t="inlineStr"/>
      <c r="M52" s="39">
        <f>IFERROR((G52-L52)/G52,0)</f>
        <v/>
      </c>
      <c r="N52" s="37" t="inlineStr"/>
      <c r="O52" s="37" t="inlineStr"/>
      <c r="P52" s="37" t="inlineStr"/>
      <c r="Q52" s="37" t="inlineStr"/>
      <c r="R52" s="37" t="inlineStr"/>
      <c r="S52" s="37" t="inlineStr"/>
      <c r="T52" s="37" t="inlineStr"/>
      <c r="U52" s="37" t="inlineStr"/>
      <c r="V52" s="38">
        <f>IFERROR(L52+N52+O52+P52+Q52+R52+S52+T52+U52,0)</f>
        <v/>
      </c>
      <c r="W52" s="38">
        <f>IFERROR(I52-W52,0)</f>
        <v/>
      </c>
      <c r="X52" s="39">
        <f>IFERROR(X52/G52,0)</f>
        <v/>
      </c>
    </row>
    <row r="53">
      <c r="A53" s="34" t="n">
        <v>50</v>
      </c>
      <c r="B53" s="35" t="inlineStr"/>
      <c r="C53" s="35" t="inlineStr"/>
      <c r="D53" s="36" t="inlineStr"/>
      <c r="E53" s="36" t="inlineStr"/>
      <c r="F53" s="37" t="inlineStr"/>
      <c r="G53" s="37" t="inlineStr"/>
      <c r="H53" s="37" t="inlineStr"/>
      <c r="I53" s="38">
        <f>IFERROR(G53-J53,0)</f>
        <v/>
      </c>
      <c r="J53" s="37" t="inlineStr"/>
      <c r="K53" s="37" t="inlineStr"/>
      <c r="L53" s="37" t="inlineStr"/>
      <c r="M53" s="39">
        <f>IFERROR((G53-L53)/G53,0)</f>
        <v/>
      </c>
      <c r="N53" s="37" t="inlineStr"/>
      <c r="O53" s="37" t="inlineStr"/>
      <c r="P53" s="37" t="inlineStr"/>
      <c r="Q53" s="37" t="inlineStr"/>
      <c r="R53" s="37" t="inlineStr"/>
      <c r="S53" s="37" t="inlineStr"/>
      <c r="T53" s="37" t="inlineStr"/>
      <c r="U53" s="37" t="inlineStr"/>
      <c r="V53" s="38">
        <f>IFERROR(L53+N53+O53+P53+Q53+R53+S53+T53+U53,0)</f>
        <v/>
      </c>
      <c r="W53" s="38">
        <f>IFERROR(I53-W53,0)</f>
        <v/>
      </c>
      <c r="X53" s="39">
        <f>IFERROR(X53/G53,0)</f>
        <v/>
      </c>
    </row>
    <row r="54">
      <c r="A54" s="34" t="n">
        <v>51</v>
      </c>
      <c r="B54" s="35" t="inlineStr"/>
      <c r="C54" s="35" t="inlineStr"/>
      <c r="D54" s="36" t="inlineStr"/>
      <c r="E54" s="36" t="inlineStr"/>
      <c r="F54" s="37" t="inlineStr"/>
      <c r="G54" s="37" t="inlineStr"/>
      <c r="H54" s="37" t="inlineStr"/>
      <c r="I54" s="38">
        <f>IFERROR(G54-J54,0)</f>
        <v/>
      </c>
      <c r="J54" s="37" t="inlineStr"/>
      <c r="K54" s="37" t="inlineStr"/>
      <c r="L54" s="37" t="inlineStr"/>
      <c r="M54" s="39">
        <f>IFERROR((G54-L54)/G54,0)</f>
        <v/>
      </c>
      <c r="N54" s="37" t="inlineStr"/>
      <c r="O54" s="37" t="inlineStr"/>
      <c r="P54" s="37" t="inlineStr"/>
      <c r="Q54" s="37" t="inlineStr"/>
      <c r="R54" s="37" t="inlineStr"/>
      <c r="S54" s="37" t="inlineStr"/>
      <c r="T54" s="37" t="inlineStr"/>
      <c r="U54" s="37" t="inlineStr"/>
      <c r="V54" s="38">
        <f>IFERROR(L54+N54+O54+P54+Q54+R54+S54+T54+U54,0)</f>
        <v/>
      </c>
      <c r="W54" s="38">
        <f>IFERROR(I54-W54,0)</f>
        <v/>
      </c>
      <c r="X54" s="39">
        <f>IFERROR(X54/G54,0)</f>
        <v/>
      </c>
    </row>
    <row r="55">
      <c r="A55" s="34" t="n">
        <v>52</v>
      </c>
      <c r="B55" s="35" t="inlineStr"/>
      <c r="C55" s="35" t="inlineStr"/>
      <c r="D55" s="36" t="inlineStr"/>
      <c r="E55" s="36" t="inlineStr"/>
      <c r="F55" s="37" t="inlineStr"/>
      <c r="G55" s="37" t="inlineStr"/>
      <c r="H55" s="37" t="inlineStr"/>
      <c r="I55" s="38">
        <f>IFERROR(G55-J55,0)</f>
        <v/>
      </c>
      <c r="J55" s="37" t="inlineStr"/>
      <c r="K55" s="37" t="inlineStr"/>
      <c r="L55" s="37" t="inlineStr"/>
      <c r="M55" s="39">
        <f>IFERROR((G55-L55)/G55,0)</f>
        <v/>
      </c>
      <c r="N55" s="37" t="inlineStr"/>
      <c r="O55" s="37" t="inlineStr"/>
      <c r="P55" s="37" t="inlineStr"/>
      <c r="Q55" s="37" t="inlineStr"/>
      <c r="R55" s="37" t="inlineStr"/>
      <c r="S55" s="37" t="inlineStr"/>
      <c r="T55" s="37" t="inlineStr"/>
      <c r="U55" s="37" t="inlineStr"/>
      <c r="V55" s="38">
        <f>IFERROR(L55+N55+O55+P55+Q55+R55+S55+T55+U55,0)</f>
        <v/>
      </c>
      <c r="W55" s="38">
        <f>IFERROR(I55-W55,0)</f>
        <v/>
      </c>
      <c r="X55" s="39">
        <f>IFERROR(X55/G55,0)</f>
        <v/>
      </c>
    </row>
    <row r="56">
      <c r="A56" s="34" t="n">
        <v>53</v>
      </c>
      <c r="B56" s="35" t="inlineStr"/>
      <c r="C56" s="35" t="inlineStr"/>
      <c r="D56" s="36" t="inlineStr"/>
      <c r="E56" s="36" t="inlineStr"/>
      <c r="F56" s="37" t="inlineStr"/>
      <c r="G56" s="37" t="inlineStr"/>
      <c r="H56" s="37" t="inlineStr"/>
      <c r="I56" s="38">
        <f>IFERROR(G56-J56,0)</f>
        <v/>
      </c>
      <c r="J56" s="37" t="inlineStr"/>
      <c r="K56" s="37" t="inlineStr"/>
      <c r="L56" s="37" t="inlineStr"/>
      <c r="M56" s="39">
        <f>IFERROR((G56-L56)/G56,0)</f>
        <v/>
      </c>
      <c r="N56" s="37" t="inlineStr"/>
      <c r="O56" s="37" t="inlineStr"/>
      <c r="P56" s="37" t="inlineStr"/>
      <c r="Q56" s="37" t="inlineStr"/>
      <c r="R56" s="37" t="inlineStr"/>
      <c r="S56" s="37" t="inlineStr"/>
      <c r="T56" s="37" t="inlineStr"/>
      <c r="U56" s="37" t="inlineStr"/>
      <c r="V56" s="38">
        <f>IFERROR(L56+N56+O56+P56+Q56+R56+S56+T56+U56,0)</f>
        <v/>
      </c>
      <c r="W56" s="38">
        <f>IFERROR(I56-W56,0)</f>
        <v/>
      </c>
      <c r="X56" s="39">
        <f>IFERROR(X56/G56,0)</f>
        <v/>
      </c>
    </row>
    <row r="57">
      <c r="A57" s="34" t="n">
        <v>54</v>
      </c>
      <c r="B57" s="35" t="inlineStr"/>
      <c r="C57" s="35" t="inlineStr"/>
      <c r="D57" s="36" t="inlineStr"/>
      <c r="E57" s="36" t="inlineStr"/>
      <c r="F57" s="37" t="inlineStr"/>
      <c r="G57" s="37" t="inlineStr"/>
      <c r="H57" s="37" t="inlineStr"/>
      <c r="I57" s="38">
        <f>IFERROR(G57-J57,0)</f>
        <v/>
      </c>
      <c r="J57" s="37" t="inlineStr"/>
      <c r="K57" s="37" t="inlineStr"/>
      <c r="L57" s="37" t="inlineStr"/>
      <c r="M57" s="39">
        <f>IFERROR((G57-L57)/G57,0)</f>
        <v/>
      </c>
      <c r="N57" s="37" t="inlineStr"/>
      <c r="O57" s="37" t="inlineStr"/>
      <c r="P57" s="37" t="inlineStr"/>
      <c r="Q57" s="37" t="inlineStr"/>
      <c r="R57" s="37" t="inlineStr"/>
      <c r="S57" s="37" t="inlineStr"/>
      <c r="T57" s="37" t="inlineStr"/>
      <c r="U57" s="37" t="inlineStr"/>
      <c r="V57" s="38">
        <f>IFERROR(L57+N57+O57+P57+Q57+R57+S57+T57+U57,0)</f>
        <v/>
      </c>
      <c r="W57" s="38">
        <f>IFERROR(I57-W57,0)</f>
        <v/>
      </c>
      <c r="X57" s="39">
        <f>IFERROR(X57/G57,0)</f>
        <v/>
      </c>
    </row>
    <row r="58">
      <c r="A58" s="34" t="n">
        <v>55</v>
      </c>
      <c r="B58" s="35" t="inlineStr"/>
      <c r="C58" s="35" t="inlineStr"/>
      <c r="D58" s="36" t="inlineStr"/>
      <c r="E58" s="36" t="inlineStr"/>
      <c r="F58" s="37" t="inlineStr"/>
      <c r="G58" s="37" t="inlineStr"/>
      <c r="H58" s="37" t="inlineStr"/>
      <c r="I58" s="38">
        <f>IFERROR(G58-J58,0)</f>
        <v/>
      </c>
      <c r="J58" s="37" t="inlineStr"/>
      <c r="K58" s="37" t="inlineStr"/>
      <c r="L58" s="37" t="inlineStr"/>
      <c r="M58" s="39">
        <f>IFERROR((G58-L58)/G58,0)</f>
        <v/>
      </c>
      <c r="N58" s="37" t="inlineStr"/>
      <c r="O58" s="37" t="inlineStr"/>
      <c r="P58" s="37" t="inlineStr"/>
      <c r="Q58" s="37" t="inlineStr"/>
      <c r="R58" s="37" t="inlineStr"/>
      <c r="S58" s="37" t="inlineStr"/>
      <c r="T58" s="37" t="inlineStr"/>
      <c r="U58" s="37" t="inlineStr"/>
      <c r="V58" s="38">
        <f>IFERROR(L58+N58+O58+P58+Q58+R58+S58+T58+U58,0)</f>
        <v/>
      </c>
      <c r="W58" s="38">
        <f>IFERROR(I58-W58,0)</f>
        <v/>
      </c>
      <c r="X58" s="39">
        <f>IFERROR(X58/G58,0)</f>
        <v/>
      </c>
    </row>
    <row r="59">
      <c r="A59" s="34" t="n">
        <v>56</v>
      </c>
      <c r="B59" s="35" t="inlineStr"/>
      <c r="C59" s="35" t="inlineStr"/>
      <c r="D59" s="36" t="inlineStr"/>
      <c r="E59" s="36" t="inlineStr"/>
      <c r="F59" s="37" t="inlineStr"/>
      <c r="G59" s="37" t="inlineStr"/>
      <c r="H59" s="37" t="inlineStr"/>
      <c r="I59" s="38">
        <f>IFERROR(G59-J59,0)</f>
        <v/>
      </c>
      <c r="J59" s="37" t="inlineStr"/>
      <c r="K59" s="37" t="inlineStr"/>
      <c r="L59" s="37" t="inlineStr"/>
      <c r="M59" s="39">
        <f>IFERROR((G59-L59)/G59,0)</f>
        <v/>
      </c>
      <c r="N59" s="37" t="inlineStr"/>
      <c r="O59" s="37" t="inlineStr"/>
      <c r="P59" s="37" t="inlineStr"/>
      <c r="Q59" s="37" t="inlineStr"/>
      <c r="R59" s="37" t="inlineStr"/>
      <c r="S59" s="37" t="inlineStr"/>
      <c r="T59" s="37" t="inlineStr"/>
      <c r="U59" s="37" t="inlineStr"/>
      <c r="V59" s="38">
        <f>IFERROR(L59+N59+O59+P59+Q59+R59+S59+T59+U59,0)</f>
        <v/>
      </c>
      <c r="W59" s="38">
        <f>IFERROR(I59-W59,0)</f>
        <v/>
      </c>
      <c r="X59" s="39">
        <f>IFERROR(X59/G59,0)</f>
        <v/>
      </c>
    </row>
    <row r="60">
      <c r="A60" s="34" t="n">
        <v>57</v>
      </c>
      <c r="B60" s="35" t="inlineStr"/>
      <c r="C60" s="35" t="inlineStr"/>
      <c r="D60" s="36" t="inlineStr"/>
      <c r="E60" s="36" t="inlineStr"/>
      <c r="F60" s="37" t="inlineStr"/>
      <c r="G60" s="37" t="inlineStr"/>
      <c r="H60" s="37" t="inlineStr"/>
      <c r="I60" s="38">
        <f>IFERROR(G60-J60,0)</f>
        <v/>
      </c>
      <c r="J60" s="37" t="inlineStr"/>
      <c r="K60" s="37" t="inlineStr"/>
      <c r="L60" s="37" t="inlineStr"/>
      <c r="M60" s="39">
        <f>IFERROR((G60-L60)/G60,0)</f>
        <v/>
      </c>
      <c r="N60" s="37" t="inlineStr"/>
      <c r="O60" s="37" t="inlineStr"/>
      <c r="P60" s="37" t="inlineStr"/>
      <c r="Q60" s="37" t="inlineStr"/>
      <c r="R60" s="37" t="inlineStr"/>
      <c r="S60" s="37" t="inlineStr"/>
      <c r="T60" s="37" t="inlineStr"/>
      <c r="U60" s="37" t="inlineStr"/>
      <c r="V60" s="38">
        <f>IFERROR(L60+N60+O60+P60+Q60+R60+S60+T60+U60,0)</f>
        <v/>
      </c>
      <c r="W60" s="38">
        <f>IFERROR(I60-W60,0)</f>
        <v/>
      </c>
      <c r="X60" s="39">
        <f>IFERROR(X60/G60,0)</f>
        <v/>
      </c>
    </row>
    <row r="61">
      <c r="A61" s="34" t="n">
        <v>58</v>
      </c>
      <c r="B61" s="35" t="inlineStr"/>
      <c r="C61" s="35" t="inlineStr"/>
      <c r="D61" s="36" t="inlineStr"/>
      <c r="E61" s="36" t="inlineStr"/>
      <c r="F61" s="37" t="inlineStr"/>
      <c r="G61" s="37" t="inlineStr"/>
      <c r="H61" s="37" t="inlineStr"/>
      <c r="I61" s="38">
        <f>IFERROR(G61-J61,0)</f>
        <v/>
      </c>
      <c r="J61" s="37" t="inlineStr"/>
      <c r="K61" s="37" t="inlineStr"/>
      <c r="L61" s="37" t="inlineStr"/>
      <c r="M61" s="39">
        <f>IFERROR((G61-L61)/G61,0)</f>
        <v/>
      </c>
      <c r="N61" s="37" t="inlineStr"/>
      <c r="O61" s="37" t="inlineStr"/>
      <c r="P61" s="37" t="inlineStr"/>
      <c r="Q61" s="37" t="inlineStr"/>
      <c r="R61" s="37" t="inlineStr"/>
      <c r="S61" s="37" t="inlineStr"/>
      <c r="T61" s="37" t="inlineStr"/>
      <c r="U61" s="37" t="inlineStr"/>
      <c r="V61" s="38">
        <f>IFERROR(L61+N61+O61+P61+Q61+R61+S61+T61+U61,0)</f>
        <v/>
      </c>
      <c r="W61" s="38">
        <f>IFERROR(I61-W61,0)</f>
        <v/>
      </c>
      <c r="X61" s="39">
        <f>IFERROR(X61/G61,0)</f>
        <v/>
      </c>
    </row>
    <row r="62">
      <c r="A62" s="34" t="n">
        <v>59</v>
      </c>
      <c r="B62" s="35" t="inlineStr"/>
      <c r="C62" s="35" t="inlineStr"/>
      <c r="D62" s="36" t="inlineStr"/>
      <c r="E62" s="36" t="inlineStr"/>
      <c r="F62" s="37" t="inlineStr"/>
      <c r="G62" s="37" t="inlineStr"/>
      <c r="H62" s="37" t="inlineStr"/>
      <c r="I62" s="38">
        <f>IFERROR(G62-J62,0)</f>
        <v/>
      </c>
      <c r="J62" s="37" t="inlineStr"/>
      <c r="K62" s="37" t="inlineStr"/>
      <c r="L62" s="37" t="inlineStr"/>
      <c r="M62" s="39">
        <f>IFERROR((G62-L62)/G62,0)</f>
        <v/>
      </c>
      <c r="N62" s="37" t="inlineStr"/>
      <c r="O62" s="37" t="inlineStr"/>
      <c r="P62" s="37" t="inlineStr"/>
      <c r="Q62" s="37" t="inlineStr"/>
      <c r="R62" s="37" t="inlineStr"/>
      <c r="S62" s="37" t="inlineStr"/>
      <c r="T62" s="37" t="inlineStr"/>
      <c r="U62" s="37" t="inlineStr"/>
      <c r="V62" s="38">
        <f>IFERROR(L62+N62+O62+P62+Q62+R62+S62+T62+U62,0)</f>
        <v/>
      </c>
      <c r="W62" s="38">
        <f>IFERROR(I62-W62,0)</f>
        <v/>
      </c>
      <c r="X62" s="39">
        <f>IFERROR(X62/G62,0)</f>
        <v/>
      </c>
    </row>
    <row r="63">
      <c r="A63" s="34" t="n">
        <v>60</v>
      </c>
      <c r="B63" s="35" t="inlineStr"/>
      <c r="C63" s="35" t="inlineStr"/>
      <c r="D63" s="36" t="inlineStr"/>
      <c r="E63" s="36" t="inlineStr"/>
      <c r="F63" s="37" t="inlineStr"/>
      <c r="G63" s="37" t="inlineStr"/>
      <c r="H63" s="37" t="inlineStr"/>
      <c r="I63" s="38">
        <f>IFERROR(G63-J63,0)</f>
        <v/>
      </c>
      <c r="J63" s="37" t="inlineStr"/>
      <c r="K63" s="37" t="inlineStr"/>
      <c r="L63" s="37" t="inlineStr"/>
      <c r="M63" s="39">
        <f>IFERROR((G63-L63)/G63,0)</f>
        <v/>
      </c>
      <c r="N63" s="37" t="inlineStr"/>
      <c r="O63" s="37" t="inlineStr"/>
      <c r="P63" s="37" t="inlineStr"/>
      <c r="Q63" s="37" t="inlineStr"/>
      <c r="R63" s="37" t="inlineStr"/>
      <c r="S63" s="37" t="inlineStr"/>
      <c r="T63" s="37" t="inlineStr"/>
      <c r="U63" s="37" t="inlineStr"/>
      <c r="V63" s="38">
        <f>IFERROR(L63+N63+O63+P63+Q63+R63+S63+T63+U63,0)</f>
        <v/>
      </c>
      <c r="W63" s="38">
        <f>IFERROR(I63-W63,0)</f>
        <v/>
      </c>
      <c r="X63" s="39">
        <f>IFERROR(X63/G63,0)</f>
        <v/>
      </c>
    </row>
    <row r="64">
      <c r="A64" s="34" t="n">
        <v>61</v>
      </c>
      <c r="B64" s="35" t="inlineStr"/>
      <c r="C64" s="35" t="inlineStr"/>
      <c r="D64" s="36" t="inlineStr"/>
      <c r="E64" s="36" t="inlineStr"/>
      <c r="F64" s="37" t="inlineStr"/>
      <c r="G64" s="37" t="inlineStr"/>
      <c r="H64" s="37" t="inlineStr"/>
      <c r="I64" s="38">
        <f>IFERROR(G64-J64,0)</f>
        <v/>
      </c>
      <c r="J64" s="37" t="inlineStr"/>
      <c r="K64" s="37" t="inlineStr"/>
      <c r="L64" s="37" t="inlineStr"/>
      <c r="M64" s="39">
        <f>IFERROR((G64-L64)/G64,0)</f>
        <v/>
      </c>
      <c r="N64" s="37" t="inlineStr"/>
      <c r="O64" s="37" t="inlineStr"/>
      <c r="P64" s="37" t="inlineStr"/>
      <c r="Q64" s="37" t="inlineStr"/>
      <c r="R64" s="37" t="inlineStr"/>
      <c r="S64" s="37" t="inlineStr"/>
      <c r="T64" s="37" t="inlineStr"/>
      <c r="U64" s="37" t="inlineStr"/>
      <c r="V64" s="38">
        <f>IFERROR(L64+N64+O64+P64+Q64+R64+S64+T64+U64,0)</f>
        <v/>
      </c>
      <c r="W64" s="38">
        <f>IFERROR(I64-W64,0)</f>
        <v/>
      </c>
      <c r="X64" s="39">
        <f>IFERROR(X64/G64,0)</f>
        <v/>
      </c>
    </row>
    <row r="65">
      <c r="A65" s="34" t="n">
        <v>62</v>
      </c>
      <c r="B65" s="35" t="inlineStr"/>
      <c r="C65" s="35" t="inlineStr"/>
      <c r="D65" s="36" t="inlineStr"/>
      <c r="E65" s="36" t="inlineStr"/>
      <c r="F65" s="37" t="inlineStr"/>
      <c r="G65" s="37" t="inlineStr"/>
      <c r="H65" s="37" t="inlineStr"/>
      <c r="I65" s="38">
        <f>IFERROR(G65-J65,0)</f>
        <v/>
      </c>
      <c r="J65" s="37" t="inlineStr"/>
      <c r="K65" s="37" t="inlineStr"/>
      <c r="L65" s="37" t="inlineStr"/>
      <c r="M65" s="39">
        <f>IFERROR((G65-L65)/G65,0)</f>
        <v/>
      </c>
      <c r="N65" s="37" t="inlineStr"/>
      <c r="O65" s="37" t="inlineStr"/>
      <c r="P65" s="37" t="inlineStr"/>
      <c r="Q65" s="37" t="inlineStr"/>
      <c r="R65" s="37" t="inlineStr"/>
      <c r="S65" s="37" t="inlineStr"/>
      <c r="T65" s="37" t="inlineStr"/>
      <c r="U65" s="37" t="inlineStr"/>
      <c r="V65" s="38">
        <f>IFERROR(L65+N65+O65+P65+Q65+R65+S65+T65+U65,0)</f>
        <v/>
      </c>
      <c r="W65" s="38">
        <f>IFERROR(I65-W65,0)</f>
        <v/>
      </c>
      <c r="X65" s="39">
        <f>IFERROR(X65/G65,0)</f>
        <v/>
      </c>
    </row>
    <row r="66">
      <c r="A66" s="34" t="n">
        <v>63</v>
      </c>
      <c r="B66" s="35" t="inlineStr"/>
      <c r="C66" s="35" t="inlineStr"/>
      <c r="D66" s="36" t="inlineStr"/>
      <c r="E66" s="36" t="inlineStr"/>
      <c r="F66" s="37" t="inlineStr"/>
      <c r="G66" s="37" t="inlineStr"/>
      <c r="H66" s="37" t="inlineStr"/>
      <c r="I66" s="38">
        <f>IFERROR(G66-J66,0)</f>
        <v/>
      </c>
      <c r="J66" s="37" t="inlineStr"/>
      <c r="K66" s="37" t="inlineStr"/>
      <c r="L66" s="37" t="inlineStr"/>
      <c r="M66" s="39">
        <f>IFERROR((G66-L66)/G66,0)</f>
        <v/>
      </c>
      <c r="N66" s="37" t="inlineStr"/>
      <c r="O66" s="37" t="inlineStr"/>
      <c r="P66" s="37" t="inlineStr"/>
      <c r="Q66" s="37" t="inlineStr"/>
      <c r="R66" s="37" t="inlineStr"/>
      <c r="S66" s="37" t="inlineStr"/>
      <c r="T66" s="37" t="inlineStr"/>
      <c r="U66" s="37" t="inlineStr"/>
      <c r="V66" s="38">
        <f>IFERROR(L66+N66+O66+P66+Q66+R66+S66+T66+U66,0)</f>
        <v/>
      </c>
      <c r="W66" s="38">
        <f>IFERROR(I66-W66,0)</f>
        <v/>
      </c>
      <c r="X66" s="39">
        <f>IFERROR(X66/G66,0)</f>
        <v/>
      </c>
    </row>
    <row r="67">
      <c r="A67" s="34" t="n">
        <v>64</v>
      </c>
      <c r="B67" s="35" t="inlineStr"/>
      <c r="C67" s="35" t="inlineStr"/>
      <c r="D67" s="36" t="inlineStr"/>
      <c r="E67" s="36" t="inlineStr"/>
      <c r="F67" s="37" t="inlineStr"/>
      <c r="G67" s="37" t="inlineStr"/>
      <c r="H67" s="37" t="inlineStr"/>
      <c r="I67" s="38">
        <f>IFERROR(G67-J67,0)</f>
        <v/>
      </c>
      <c r="J67" s="37" t="inlineStr"/>
      <c r="K67" s="37" t="inlineStr"/>
      <c r="L67" s="37" t="inlineStr"/>
      <c r="M67" s="39">
        <f>IFERROR((G67-L67)/G67,0)</f>
        <v/>
      </c>
      <c r="N67" s="37" t="inlineStr"/>
      <c r="O67" s="37" t="inlineStr"/>
      <c r="P67" s="37" t="inlineStr"/>
      <c r="Q67" s="37" t="inlineStr"/>
      <c r="R67" s="37" t="inlineStr"/>
      <c r="S67" s="37" t="inlineStr"/>
      <c r="T67" s="37" t="inlineStr"/>
      <c r="U67" s="37" t="inlineStr"/>
      <c r="V67" s="38">
        <f>IFERROR(L67+N67+O67+P67+Q67+R67+S67+T67+U67,0)</f>
        <v/>
      </c>
      <c r="W67" s="38">
        <f>IFERROR(I67-W67,0)</f>
        <v/>
      </c>
      <c r="X67" s="39">
        <f>IFERROR(X67/G67,0)</f>
        <v/>
      </c>
    </row>
    <row r="68">
      <c r="A68" s="34" t="n">
        <v>65</v>
      </c>
      <c r="B68" s="35" t="inlineStr"/>
      <c r="C68" s="35" t="inlineStr"/>
      <c r="D68" s="36" t="inlineStr"/>
      <c r="E68" s="36" t="inlineStr"/>
      <c r="F68" s="37" t="inlineStr"/>
      <c r="G68" s="37" t="inlineStr"/>
      <c r="H68" s="37" t="inlineStr"/>
      <c r="I68" s="38">
        <f>IFERROR(G68-J68,0)</f>
        <v/>
      </c>
      <c r="J68" s="37" t="inlineStr"/>
      <c r="K68" s="37" t="inlineStr"/>
      <c r="L68" s="37" t="inlineStr"/>
      <c r="M68" s="39">
        <f>IFERROR((G68-L68)/G68,0)</f>
        <v/>
      </c>
      <c r="N68" s="37" t="inlineStr"/>
      <c r="O68" s="37" t="inlineStr"/>
      <c r="P68" s="37" t="inlineStr"/>
      <c r="Q68" s="37" t="inlineStr"/>
      <c r="R68" s="37" t="inlineStr"/>
      <c r="S68" s="37" t="inlineStr"/>
      <c r="T68" s="37" t="inlineStr"/>
      <c r="U68" s="37" t="inlineStr"/>
      <c r="V68" s="38">
        <f>IFERROR(L68+N68+O68+P68+Q68+R68+S68+T68+U68,0)</f>
        <v/>
      </c>
      <c r="W68" s="38">
        <f>IFERROR(I68-W68,0)</f>
        <v/>
      </c>
      <c r="X68" s="39">
        <f>IFERROR(X68/G68,0)</f>
        <v/>
      </c>
    </row>
    <row r="69">
      <c r="A69" s="34" t="n">
        <v>66</v>
      </c>
      <c r="B69" s="35" t="inlineStr"/>
      <c r="C69" s="35" t="inlineStr"/>
      <c r="D69" s="36" t="inlineStr"/>
      <c r="E69" s="36" t="inlineStr"/>
      <c r="F69" s="37" t="inlineStr"/>
      <c r="G69" s="37" t="inlineStr"/>
      <c r="H69" s="37" t="inlineStr"/>
      <c r="I69" s="38">
        <f>IFERROR(G69-J69,0)</f>
        <v/>
      </c>
      <c r="J69" s="37" t="inlineStr"/>
      <c r="K69" s="37" t="inlineStr"/>
      <c r="L69" s="37" t="inlineStr"/>
      <c r="M69" s="39">
        <f>IFERROR((G69-L69)/G69,0)</f>
        <v/>
      </c>
      <c r="N69" s="37" t="inlineStr"/>
      <c r="O69" s="37" t="inlineStr"/>
      <c r="P69" s="37" t="inlineStr"/>
      <c r="Q69" s="37" t="inlineStr"/>
      <c r="R69" s="37" t="inlineStr"/>
      <c r="S69" s="37" t="inlineStr"/>
      <c r="T69" s="37" t="inlineStr"/>
      <c r="U69" s="37" t="inlineStr"/>
      <c r="V69" s="38">
        <f>IFERROR(L69+N69+O69+P69+Q69+R69+S69+T69+U69,0)</f>
        <v/>
      </c>
      <c r="W69" s="38">
        <f>IFERROR(I69-W69,0)</f>
        <v/>
      </c>
      <c r="X69" s="39">
        <f>IFERROR(X69/G69,0)</f>
        <v/>
      </c>
    </row>
    <row r="70">
      <c r="A70" s="34" t="n">
        <v>67</v>
      </c>
      <c r="B70" s="35" t="inlineStr"/>
      <c r="C70" s="35" t="inlineStr"/>
      <c r="D70" s="36" t="inlineStr"/>
      <c r="E70" s="36" t="inlineStr"/>
      <c r="F70" s="37" t="inlineStr"/>
      <c r="G70" s="37" t="inlineStr"/>
      <c r="H70" s="37" t="inlineStr"/>
      <c r="I70" s="38">
        <f>IFERROR(G70-J70,0)</f>
        <v/>
      </c>
      <c r="J70" s="37" t="inlineStr"/>
      <c r="K70" s="37" t="inlineStr"/>
      <c r="L70" s="37" t="inlineStr"/>
      <c r="M70" s="39">
        <f>IFERROR((G70-L70)/G70,0)</f>
        <v/>
      </c>
      <c r="N70" s="37" t="inlineStr"/>
      <c r="O70" s="37" t="inlineStr"/>
      <c r="P70" s="37" t="inlineStr"/>
      <c r="Q70" s="37" t="inlineStr"/>
      <c r="R70" s="37" t="inlineStr"/>
      <c r="S70" s="37" t="inlineStr"/>
      <c r="T70" s="37" t="inlineStr"/>
      <c r="U70" s="37" t="inlineStr"/>
      <c r="V70" s="38">
        <f>IFERROR(L70+N70+O70+P70+Q70+R70+S70+T70+U70,0)</f>
        <v/>
      </c>
      <c r="W70" s="38">
        <f>IFERROR(I70-W70,0)</f>
        <v/>
      </c>
      <c r="X70" s="39">
        <f>IFERROR(X70/G70,0)</f>
        <v/>
      </c>
    </row>
    <row r="71">
      <c r="A71" s="34" t="n">
        <v>68</v>
      </c>
      <c r="B71" s="35" t="inlineStr"/>
      <c r="C71" s="35" t="inlineStr"/>
      <c r="D71" s="36" t="inlineStr"/>
      <c r="E71" s="36" t="inlineStr"/>
      <c r="F71" s="37" t="inlineStr"/>
      <c r="G71" s="37" t="inlineStr"/>
      <c r="H71" s="37" t="inlineStr"/>
      <c r="I71" s="38">
        <f>IFERROR(G71-J71,0)</f>
        <v/>
      </c>
      <c r="J71" s="37" t="inlineStr"/>
      <c r="K71" s="37" t="inlineStr"/>
      <c r="L71" s="37" t="inlineStr"/>
      <c r="M71" s="39">
        <f>IFERROR((G71-L71)/G71,0)</f>
        <v/>
      </c>
      <c r="N71" s="37" t="inlineStr"/>
      <c r="O71" s="37" t="inlineStr"/>
      <c r="P71" s="37" t="inlineStr"/>
      <c r="Q71" s="37" t="inlineStr"/>
      <c r="R71" s="37" t="inlineStr"/>
      <c r="S71" s="37" t="inlineStr"/>
      <c r="T71" s="37" t="inlineStr"/>
      <c r="U71" s="37" t="inlineStr"/>
      <c r="V71" s="38">
        <f>IFERROR(L71+N71+O71+P71+Q71+R71+S71+T71+U71,0)</f>
        <v/>
      </c>
      <c r="W71" s="38">
        <f>IFERROR(I71-W71,0)</f>
        <v/>
      </c>
      <c r="X71" s="39">
        <f>IFERROR(X71/G71,0)</f>
        <v/>
      </c>
    </row>
    <row r="72">
      <c r="A72" s="34" t="n">
        <v>69</v>
      </c>
      <c r="B72" s="35" t="inlineStr"/>
      <c r="C72" s="35" t="inlineStr"/>
      <c r="D72" s="36" t="inlineStr"/>
      <c r="E72" s="36" t="inlineStr"/>
      <c r="F72" s="37" t="inlineStr"/>
      <c r="G72" s="37" t="inlineStr"/>
      <c r="H72" s="37" t="inlineStr"/>
      <c r="I72" s="38">
        <f>IFERROR(G72-J72,0)</f>
        <v/>
      </c>
      <c r="J72" s="37" t="inlineStr"/>
      <c r="K72" s="37" t="inlineStr"/>
      <c r="L72" s="37" t="inlineStr"/>
      <c r="M72" s="39">
        <f>IFERROR((G72-L72)/G72,0)</f>
        <v/>
      </c>
      <c r="N72" s="37" t="inlineStr"/>
      <c r="O72" s="37" t="inlineStr"/>
      <c r="P72" s="37" t="inlineStr"/>
      <c r="Q72" s="37" t="inlineStr"/>
      <c r="R72" s="37" t="inlineStr"/>
      <c r="S72" s="37" t="inlineStr"/>
      <c r="T72" s="37" t="inlineStr"/>
      <c r="U72" s="37" t="inlineStr"/>
      <c r="V72" s="38">
        <f>IFERROR(L72+N72+O72+P72+Q72+R72+S72+T72+U72,0)</f>
        <v/>
      </c>
      <c r="W72" s="38">
        <f>IFERROR(I72-W72,0)</f>
        <v/>
      </c>
      <c r="X72" s="39">
        <f>IFERROR(X72/G72,0)</f>
        <v/>
      </c>
    </row>
    <row r="73">
      <c r="A73" s="34" t="n">
        <v>70</v>
      </c>
      <c r="B73" s="35" t="inlineStr"/>
      <c r="C73" s="35" t="inlineStr"/>
      <c r="D73" s="36" t="inlineStr"/>
      <c r="E73" s="36" t="inlineStr"/>
      <c r="F73" s="37" t="inlineStr"/>
      <c r="G73" s="37" t="inlineStr"/>
      <c r="H73" s="37" t="inlineStr"/>
      <c r="I73" s="38">
        <f>IFERROR(G73-J73,0)</f>
        <v/>
      </c>
      <c r="J73" s="37" t="inlineStr"/>
      <c r="K73" s="37" t="inlineStr"/>
      <c r="L73" s="37" t="inlineStr"/>
      <c r="M73" s="39">
        <f>IFERROR((G73-L73)/G73,0)</f>
        <v/>
      </c>
      <c r="N73" s="37" t="inlineStr"/>
      <c r="O73" s="37" t="inlineStr"/>
      <c r="P73" s="37" t="inlineStr"/>
      <c r="Q73" s="37" t="inlineStr"/>
      <c r="R73" s="37" t="inlineStr"/>
      <c r="S73" s="37" t="inlineStr"/>
      <c r="T73" s="37" t="inlineStr"/>
      <c r="U73" s="37" t="inlineStr"/>
      <c r="V73" s="38">
        <f>IFERROR(L73+N73+O73+P73+Q73+R73+S73+T73+U73,0)</f>
        <v/>
      </c>
      <c r="W73" s="38">
        <f>IFERROR(I73-W73,0)</f>
        <v/>
      </c>
      <c r="X73" s="39">
        <f>IFERROR(X73/G73,0)</f>
        <v/>
      </c>
    </row>
    <row r="74">
      <c r="A74" s="34" t="n">
        <v>71</v>
      </c>
      <c r="B74" s="35" t="inlineStr"/>
      <c r="C74" s="35" t="inlineStr"/>
      <c r="D74" s="36" t="inlineStr"/>
      <c r="E74" s="36" t="inlineStr"/>
      <c r="F74" s="37" t="inlineStr"/>
      <c r="G74" s="37" t="inlineStr"/>
      <c r="H74" s="37" t="inlineStr"/>
      <c r="I74" s="38">
        <f>IFERROR(G74-J74,0)</f>
        <v/>
      </c>
      <c r="J74" s="37" t="inlineStr"/>
      <c r="K74" s="37" t="inlineStr"/>
      <c r="L74" s="37" t="inlineStr"/>
      <c r="M74" s="39">
        <f>IFERROR((G74-L74)/G74,0)</f>
        <v/>
      </c>
      <c r="N74" s="37" t="inlineStr"/>
      <c r="O74" s="37" t="inlineStr"/>
      <c r="P74" s="37" t="inlineStr"/>
      <c r="Q74" s="37" t="inlineStr"/>
      <c r="R74" s="37" t="inlineStr"/>
      <c r="S74" s="37" t="inlineStr"/>
      <c r="T74" s="37" t="inlineStr"/>
      <c r="U74" s="37" t="inlineStr"/>
      <c r="V74" s="38">
        <f>IFERROR(L74+N74+O74+P74+Q74+R74+S74+T74+U74,0)</f>
        <v/>
      </c>
      <c r="W74" s="38">
        <f>IFERROR(I74-W74,0)</f>
        <v/>
      </c>
      <c r="X74" s="39">
        <f>IFERROR(X74/G74,0)</f>
        <v/>
      </c>
    </row>
    <row r="75">
      <c r="A75" s="34" t="n">
        <v>72</v>
      </c>
      <c r="B75" s="35" t="inlineStr"/>
      <c r="C75" s="35" t="inlineStr"/>
      <c r="D75" s="36" t="inlineStr"/>
      <c r="E75" s="36" t="inlineStr"/>
      <c r="F75" s="37" t="inlineStr"/>
      <c r="G75" s="37" t="inlineStr"/>
      <c r="H75" s="37" t="inlineStr"/>
      <c r="I75" s="38">
        <f>IFERROR(G75-J75,0)</f>
        <v/>
      </c>
      <c r="J75" s="37" t="inlineStr"/>
      <c r="K75" s="37" t="inlineStr"/>
      <c r="L75" s="37" t="inlineStr"/>
      <c r="M75" s="39">
        <f>IFERROR((G75-L75)/G75,0)</f>
        <v/>
      </c>
      <c r="N75" s="37" t="inlineStr"/>
      <c r="O75" s="37" t="inlineStr"/>
      <c r="P75" s="37" t="inlineStr"/>
      <c r="Q75" s="37" t="inlineStr"/>
      <c r="R75" s="37" t="inlineStr"/>
      <c r="S75" s="37" t="inlineStr"/>
      <c r="T75" s="37" t="inlineStr"/>
      <c r="U75" s="37" t="inlineStr"/>
      <c r="V75" s="38">
        <f>IFERROR(L75+N75+O75+P75+Q75+R75+S75+T75+U75,0)</f>
        <v/>
      </c>
      <c r="W75" s="38">
        <f>IFERROR(I75-W75,0)</f>
        <v/>
      </c>
      <c r="X75" s="39">
        <f>IFERROR(X75/G75,0)</f>
        <v/>
      </c>
    </row>
    <row r="76">
      <c r="A76" s="34" t="n">
        <v>73</v>
      </c>
      <c r="B76" s="35" t="inlineStr"/>
      <c r="C76" s="35" t="inlineStr"/>
      <c r="D76" s="36" t="inlineStr"/>
      <c r="E76" s="36" t="inlineStr"/>
      <c r="F76" s="37" t="inlineStr"/>
      <c r="G76" s="37" t="inlineStr"/>
      <c r="H76" s="37" t="inlineStr"/>
      <c r="I76" s="38">
        <f>IFERROR(G76-J76,0)</f>
        <v/>
      </c>
      <c r="J76" s="37" t="inlineStr"/>
      <c r="K76" s="37" t="inlineStr"/>
      <c r="L76" s="37" t="inlineStr"/>
      <c r="M76" s="39">
        <f>IFERROR((G76-L76)/G76,0)</f>
        <v/>
      </c>
      <c r="N76" s="37" t="inlineStr"/>
      <c r="O76" s="37" t="inlineStr"/>
      <c r="P76" s="37" t="inlineStr"/>
      <c r="Q76" s="37" t="inlineStr"/>
      <c r="R76" s="37" t="inlineStr"/>
      <c r="S76" s="37" t="inlineStr"/>
      <c r="T76" s="37" t="inlineStr"/>
      <c r="U76" s="37" t="inlineStr"/>
      <c r="V76" s="38">
        <f>IFERROR(L76+N76+O76+P76+Q76+R76+S76+T76+U76,0)</f>
        <v/>
      </c>
      <c r="W76" s="38">
        <f>IFERROR(I76-W76,0)</f>
        <v/>
      </c>
      <c r="X76" s="39">
        <f>IFERROR(X76/G76,0)</f>
        <v/>
      </c>
    </row>
    <row r="77">
      <c r="A77" s="34" t="n">
        <v>74</v>
      </c>
      <c r="B77" s="35" t="inlineStr"/>
      <c r="C77" s="35" t="inlineStr"/>
      <c r="D77" s="36" t="inlineStr"/>
      <c r="E77" s="36" t="inlineStr"/>
      <c r="F77" s="37" t="inlineStr"/>
      <c r="G77" s="37" t="inlineStr"/>
      <c r="H77" s="37" t="inlineStr"/>
      <c r="I77" s="38">
        <f>IFERROR(G77-J77,0)</f>
        <v/>
      </c>
      <c r="J77" s="37" t="inlineStr"/>
      <c r="K77" s="37" t="inlineStr"/>
      <c r="L77" s="37" t="inlineStr"/>
      <c r="M77" s="39">
        <f>IFERROR((G77-L77)/G77,0)</f>
        <v/>
      </c>
      <c r="N77" s="37" t="inlineStr"/>
      <c r="O77" s="37" t="inlineStr"/>
      <c r="P77" s="37" t="inlineStr"/>
      <c r="Q77" s="37" t="inlineStr"/>
      <c r="R77" s="37" t="inlineStr"/>
      <c r="S77" s="37" t="inlineStr"/>
      <c r="T77" s="37" t="inlineStr"/>
      <c r="U77" s="37" t="inlineStr"/>
      <c r="V77" s="38">
        <f>IFERROR(L77+N77+O77+P77+Q77+R77+S77+T77+U77,0)</f>
        <v/>
      </c>
      <c r="W77" s="38">
        <f>IFERROR(I77-W77,0)</f>
        <v/>
      </c>
      <c r="X77" s="39">
        <f>IFERROR(X77/G77,0)</f>
        <v/>
      </c>
    </row>
    <row r="78">
      <c r="A78" s="34" t="n">
        <v>75</v>
      </c>
      <c r="B78" s="35" t="inlineStr"/>
      <c r="C78" s="35" t="inlineStr"/>
      <c r="D78" s="36" t="inlineStr"/>
      <c r="E78" s="36" t="inlineStr"/>
      <c r="F78" s="37" t="inlineStr"/>
      <c r="G78" s="37" t="inlineStr"/>
      <c r="H78" s="37" t="inlineStr"/>
      <c r="I78" s="38">
        <f>IFERROR(G78-J78,0)</f>
        <v/>
      </c>
      <c r="J78" s="37" t="inlineStr"/>
      <c r="K78" s="37" t="inlineStr"/>
      <c r="L78" s="37" t="inlineStr"/>
      <c r="M78" s="39">
        <f>IFERROR((G78-L78)/G78,0)</f>
        <v/>
      </c>
      <c r="N78" s="37" t="inlineStr"/>
      <c r="O78" s="37" t="inlineStr"/>
      <c r="P78" s="37" t="inlineStr"/>
      <c r="Q78" s="37" t="inlineStr"/>
      <c r="R78" s="37" t="inlineStr"/>
      <c r="S78" s="37" t="inlineStr"/>
      <c r="T78" s="37" t="inlineStr"/>
      <c r="U78" s="37" t="inlineStr"/>
      <c r="V78" s="38">
        <f>IFERROR(L78+N78+O78+P78+Q78+R78+S78+T78+U78,0)</f>
        <v/>
      </c>
      <c r="W78" s="38">
        <f>IFERROR(I78-W78,0)</f>
        <v/>
      </c>
      <c r="X78" s="39">
        <f>IFERROR(X78/G78,0)</f>
        <v/>
      </c>
    </row>
    <row r="79">
      <c r="A79" s="34" t="n">
        <v>76</v>
      </c>
      <c r="B79" s="35" t="inlineStr"/>
      <c r="C79" s="35" t="inlineStr"/>
      <c r="D79" s="36" t="inlineStr"/>
      <c r="E79" s="36" t="inlineStr"/>
      <c r="F79" s="37" t="inlineStr"/>
      <c r="G79" s="37" t="inlineStr"/>
      <c r="H79" s="37" t="inlineStr"/>
      <c r="I79" s="38">
        <f>IFERROR(G79-J79,0)</f>
        <v/>
      </c>
      <c r="J79" s="37" t="inlineStr"/>
      <c r="K79" s="37" t="inlineStr"/>
      <c r="L79" s="37" t="inlineStr"/>
      <c r="M79" s="39">
        <f>IFERROR((G79-L79)/G79,0)</f>
        <v/>
      </c>
      <c r="N79" s="37" t="inlineStr"/>
      <c r="O79" s="37" t="inlineStr"/>
      <c r="P79" s="37" t="inlineStr"/>
      <c r="Q79" s="37" t="inlineStr"/>
      <c r="R79" s="37" t="inlineStr"/>
      <c r="S79" s="37" t="inlineStr"/>
      <c r="T79" s="37" t="inlineStr"/>
      <c r="U79" s="37" t="inlineStr"/>
      <c r="V79" s="38">
        <f>IFERROR(L79+N79+O79+P79+Q79+R79+S79+T79+U79,0)</f>
        <v/>
      </c>
      <c r="W79" s="38">
        <f>IFERROR(I79-W79,0)</f>
        <v/>
      </c>
      <c r="X79" s="39">
        <f>IFERROR(X79/G79,0)</f>
        <v/>
      </c>
    </row>
    <row r="80">
      <c r="A80" s="34" t="n">
        <v>77</v>
      </c>
      <c r="B80" s="35" t="inlineStr"/>
      <c r="C80" s="35" t="inlineStr"/>
      <c r="D80" s="36" t="inlineStr"/>
      <c r="E80" s="36" t="inlineStr"/>
      <c r="F80" s="37" t="inlineStr"/>
      <c r="G80" s="37" t="inlineStr"/>
      <c r="H80" s="37" t="inlineStr"/>
      <c r="I80" s="38">
        <f>IFERROR(G80-J80,0)</f>
        <v/>
      </c>
      <c r="J80" s="37" t="inlineStr"/>
      <c r="K80" s="37" t="inlineStr"/>
      <c r="L80" s="37" t="inlineStr"/>
      <c r="M80" s="39">
        <f>IFERROR((G80-L80)/G80,0)</f>
        <v/>
      </c>
      <c r="N80" s="37" t="inlineStr"/>
      <c r="O80" s="37" t="inlineStr"/>
      <c r="P80" s="37" t="inlineStr"/>
      <c r="Q80" s="37" t="inlineStr"/>
      <c r="R80" s="37" t="inlineStr"/>
      <c r="S80" s="37" t="inlineStr"/>
      <c r="T80" s="37" t="inlineStr"/>
      <c r="U80" s="37" t="inlineStr"/>
      <c r="V80" s="38">
        <f>IFERROR(L80+N80+O80+P80+Q80+R80+S80+T80+U80,0)</f>
        <v/>
      </c>
      <c r="W80" s="38">
        <f>IFERROR(I80-W80,0)</f>
        <v/>
      </c>
      <c r="X80" s="39">
        <f>IFERROR(X80/G80,0)</f>
        <v/>
      </c>
    </row>
    <row r="81">
      <c r="A81" s="34" t="n">
        <v>78</v>
      </c>
      <c r="B81" s="35" t="inlineStr"/>
      <c r="C81" s="35" t="inlineStr"/>
      <c r="D81" s="36" t="inlineStr"/>
      <c r="E81" s="36" t="inlineStr"/>
      <c r="F81" s="37" t="inlineStr"/>
      <c r="G81" s="37" t="inlineStr"/>
      <c r="H81" s="37" t="inlineStr"/>
      <c r="I81" s="38">
        <f>IFERROR(G81-J81,0)</f>
        <v/>
      </c>
      <c r="J81" s="37" t="inlineStr"/>
      <c r="K81" s="37" t="inlineStr"/>
      <c r="L81" s="37" t="inlineStr"/>
      <c r="M81" s="39">
        <f>IFERROR((G81-L81)/G81,0)</f>
        <v/>
      </c>
      <c r="N81" s="37" t="inlineStr"/>
      <c r="O81" s="37" t="inlineStr"/>
      <c r="P81" s="37" t="inlineStr"/>
      <c r="Q81" s="37" t="inlineStr"/>
      <c r="R81" s="37" t="inlineStr"/>
      <c r="S81" s="37" t="inlineStr"/>
      <c r="T81" s="37" t="inlineStr"/>
      <c r="U81" s="37" t="inlineStr"/>
      <c r="V81" s="38">
        <f>IFERROR(L81+N81+O81+P81+Q81+R81+S81+T81+U81,0)</f>
        <v/>
      </c>
      <c r="W81" s="38">
        <f>IFERROR(I81-W81,0)</f>
        <v/>
      </c>
      <c r="X81" s="39">
        <f>IFERROR(X81/G81,0)</f>
        <v/>
      </c>
    </row>
    <row r="82">
      <c r="A82" s="34" t="n">
        <v>79</v>
      </c>
      <c r="B82" s="35" t="inlineStr"/>
      <c r="C82" s="35" t="inlineStr"/>
      <c r="D82" s="36" t="inlineStr"/>
      <c r="E82" s="36" t="inlineStr"/>
      <c r="F82" s="37" t="inlineStr"/>
      <c r="G82" s="37" t="inlineStr"/>
      <c r="H82" s="37" t="inlineStr"/>
      <c r="I82" s="38">
        <f>IFERROR(G82-J82,0)</f>
        <v/>
      </c>
      <c r="J82" s="37" t="inlineStr"/>
      <c r="K82" s="37" t="inlineStr"/>
      <c r="L82" s="37" t="inlineStr"/>
      <c r="M82" s="39">
        <f>IFERROR((G82-L82)/G82,0)</f>
        <v/>
      </c>
      <c r="N82" s="37" t="inlineStr"/>
      <c r="O82" s="37" t="inlineStr"/>
      <c r="P82" s="37" t="inlineStr"/>
      <c r="Q82" s="37" t="inlineStr"/>
      <c r="R82" s="37" t="inlineStr"/>
      <c r="S82" s="37" t="inlineStr"/>
      <c r="T82" s="37" t="inlineStr"/>
      <c r="U82" s="37" t="inlineStr"/>
      <c r="V82" s="38">
        <f>IFERROR(L82+N82+O82+P82+Q82+R82+S82+T82+U82,0)</f>
        <v/>
      </c>
      <c r="W82" s="38">
        <f>IFERROR(I82-W82,0)</f>
        <v/>
      </c>
      <c r="X82" s="39">
        <f>IFERROR(X82/G82,0)</f>
        <v/>
      </c>
    </row>
    <row r="83">
      <c r="A83" s="34" t="n">
        <v>80</v>
      </c>
      <c r="B83" s="35" t="inlineStr"/>
      <c r="C83" s="35" t="inlineStr"/>
      <c r="D83" s="36" t="inlineStr"/>
      <c r="E83" s="36" t="inlineStr"/>
      <c r="F83" s="37" t="inlineStr"/>
      <c r="G83" s="37" t="inlineStr"/>
      <c r="H83" s="37" t="inlineStr"/>
      <c r="I83" s="38">
        <f>IFERROR(G83-J83,0)</f>
        <v/>
      </c>
      <c r="J83" s="37" t="inlineStr"/>
      <c r="K83" s="37" t="inlineStr"/>
      <c r="L83" s="37" t="inlineStr"/>
      <c r="M83" s="39">
        <f>IFERROR((G83-L83)/G83,0)</f>
        <v/>
      </c>
      <c r="N83" s="37" t="inlineStr"/>
      <c r="O83" s="37" t="inlineStr"/>
      <c r="P83" s="37" t="inlineStr"/>
      <c r="Q83" s="37" t="inlineStr"/>
      <c r="R83" s="37" t="inlineStr"/>
      <c r="S83" s="37" t="inlineStr"/>
      <c r="T83" s="37" t="inlineStr"/>
      <c r="U83" s="37" t="inlineStr"/>
      <c r="V83" s="38">
        <f>IFERROR(L83+N83+O83+P83+Q83+R83+S83+T83+U83,0)</f>
        <v/>
      </c>
      <c r="W83" s="38">
        <f>IFERROR(I83-W83,0)</f>
        <v/>
      </c>
      <c r="X83" s="39">
        <f>IFERROR(X83/G83,0)</f>
        <v/>
      </c>
    </row>
    <row r="84">
      <c r="A84" s="34" t="n">
        <v>81</v>
      </c>
      <c r="B84" s="35" t="inlineStr"/>
      <c r="C84" s="35" t="inlineStr"/>
      <c r="D84" s="36" t="inlineStr"/>
      <c r="E84" s="36" t="inlineStr"/>
      <c r="F84" s="37" t="inlineStr"/>
      <c r="G84" s="37" t="inlineStr"/>
      <c r="H84" s="37" t="inlineStr"/>
      <c r="I84" s="38">
        <f>IFERROR(G84-J84,0)</f>
        <v/>
      </c>
      <c r="J84" s="37" t="inlineStr"/>
      <c r="K84" s="37" t="inlineStr"/>
      <c r="L84" s="37" t="inlineStr"/>
      <c r="M84" s="39">
        <f>IFERROR((G84-L84)/G84,0)</f>
        <v/>
      </c>
      <c r="N84" s="37" t="inlineStr"/>
      <c r="O84" s="37" t="inlineStr"/>
      <c r="P84" s="37" t="inlineStr"/>
      <c r="Q84" s="37" t="inlineStr"/>
      <c r="R84" s="37" t="inlineStr"/>
      <c r="S84" s="37" t="inlineStr"/>
      <c r="T84" s="37" t="inlineStr"/>
      <c r="U84" s="37" t="inlineStr"/>
      <c r="V84" s="38">
        <f>IFERROR(L84+N84+O84+P84+Q84+R84+S84+T84+U84,0)</f>
        <v/>
      </c>
      <c r="W84" s="38">
        <f>IFERROR(I84-W84,0)</f>
        <v/>
      </c>
      <c r="X84" s="39">
        <f>IFERROR(X84/G84,0)</f>
        <v/>
      </c>
    </row>
    <row r="85">
      <c r="A85" s="34" t="n">
        <v>82</v>
      </c>
      <c r="B85" s="35" t="inlineStr"/>
      <c r="C85" s="35" t="inlineStr"/>
      <c r="D85" s="36" t="inlineStr"/>
      <c r="E85" s="36" t="inlineStr"/>
      <c r="F85" s="37" t="inlineStr"/>
      <c r="G85" s="37" t="inlineStr"/>
      <c r="H85" s="37" t="inlineStr"/>
      <c r="I85" s="38">
        <f>IFERROR(G85-J85,0)</f>
        <v/>
      </c>
      <c r="J85" s="37" t="inlineStr"/>
      <c r="K85" s="37" t="inlineStr"/>
      <c r="L85" s="37" t="inlineStr"/>
      <c r="M85" s="39">
        <f>IFERROR((G85-L85)/G85,0)</f>
        <v/>
      </c>
      <c r="N85" s="37" t="inlineStr"/>
      <c r="O85" s="37" t="inlineStr"/>
      <c r="P85" s="37" t="inlineStr"/>
      <c r="Q85" s="37" t="inlineStr"/>
      <c r="R85" s="37" t="inlineStr"/>
      <c r="S85" s="37" t="inlineStr"/>
      <c r="T85" s="37" t="inlineStr"/>
      <c r="U85" s="37" t="inlineStr"/>
      <c r="V85" s="38">
        <f>IFERROR(L85+N85+O85+P85+Q85+R85+S85+T85+U85,0)</f>
        <v/>
      </c>
      <c r="W85" s="38">
        <f>IFERROR(I85-W85,0)</f>
        <v/>
      </c>
      <c r="X85" s="39">
        <f>IFERROR(X85/G85,0)</f>
        <v/>
      </c>
    </row>
    <row r="86">
      <c r="A86" s="34" t="n">
        <v>83</v>
      </c>
      <c r="B86" s="35" t="inlineStr"/>
      <c r="C86" s="35" t="inlineStr"/>
      <c r="D86" s="36" t="inlineStr"/>
      <c r="E86" s="36" t="inlineStr"/>
      <c r="F86" s="37" t="inlineStr"/>
      <c r="G86" s="37" t="inlineStr"/>
      <c r="H86" s="37" t="inlineStr"/>
      <c r="I86" s="38">
        <f>IFERROR(G86-J86,0)</f>
        <v/>
      </c>
      <c r="J86" s="37" t="inlineStr"/>
      <c r="K86" s="37" t="inlineStr"/>
      <c r="L86" s="37" t="inlineStr"/>
      <c r="M86" s="39">
        <f>IFERROR((G86-L86)/G86,0)</f>
        <v/>
      </c>
      <c r="N86" s="37" t="inlineStr"/>
      <c r="O86" s="37" t="inlineStr"/>
      <c r="P86" s="37" t="inlineStr"/>
      <c r="Q86" s="37" t="inlineStr"/>
      <c r="R86" s="37" t="inlineStr"/>
      <c r="S86" s="37" t="inlineStr"/>
      <c r="T86" s="37" t="inlineStr"/>
      <c r="U86" s="37" t="inlineStr"/>
      <c r="V86" s="38">
        <f>IFERROR(L86+N86+O86+P86+Q86+R86+S86+T86+U86,0)</f>
        <v/>
      </c>
      <c r="W86" s="38">
        <f>IFERROR(I86-W86,0)</f>
        <v/>
      </c>
      <c r="X86" s="39">
        <f>IFERROR(X86/G86,0)</f>
        <v/>
      </c>
    </row>
    <row r="87">
      <c r="A87" s="34" t="n">
        <v>84</v>
      </c>
      <c r="B87" s="35" t="inlineStr"/>
      <c r="C87" s="35" t="inlineStr"/>
      <c r="D87" s="36" t="inlineStr"/>
      <c r="E87" s="36" t="inlineStr"/>
      <c r="F87" s="37" t="inlineStr"/>
      <c r="G87" s="37" t="inlineStr"/>
      <c r="H87" s="37" t="inlineStr"/>
      <c r="I87" s="38">
        <f>IFERROR(G87-J87,0)</f>
        <v/>
      </c>
      <c r="J87" s="37" t="inlineStr"/>
      <c r="K87" s="37" t="inlineStr"/>
      <c r="L87" s="37" t="inlineStr"/>
      <c r="M87" s="39">
        <f>IFERROR((G87-L87)/G87,0)</f>
        <v/>
      </c>
      <c r="N87" s="37" t="inlineStr"/>
      <c r="O87" s="37" t="inlineStr"/>
      <c r="P87" s="37" t="inlineStr"/>
      <c r="Q87" s="37" t="inlineStr"/>
      <c r="R87" s="37" t="inlineStr"/>
      <c r="S87" s="37" t="inlineStr"/>
      <c r="T87" s="37" t="inlineStr"/>
      <c r="U87" s="37" t="inlineStr"/>
      <c r="V87" s="38">
        <f>IFERROR(L87+N87+O87+P87+Q87+R87+S87+T87+U87,0)</f>
        <v/>
      </c>
      <c r="W87" s="38">
        <f>IFERROR(I87-W87,0)</f>
        <v/>
      </c>
      <c r="X87" s="39">
        <f>IFERROR(X87/G87,0)</f>
        <v/>
      </c>
    </row>
    <row r="88">
      <c r="A88" s="34" t="n">
        <v>85</v>
      </c>
      <c r="B88" s="35" t="inlineStr"/>
      <c r="C88" s="35" t="inlineStr"/>
      <c r="D88" s="36" t="inlineStr"/>
      <c r="E88" s="36" t="inlineStr"/>
      <c r="F88" s="37" t="inlineStr"/>
      <c r="G88" s="37" t="inlineStr"/>
      <c r="H88" s="37" t="inlineStr"/>
      <c r="I88" s="38">
        <f>IFERROR(G88-J88,0)</f>
        <v/>
      </c>
      <c r="J88" s="37" t="inlineStr"/>
      <c r="K88" s="37" t="inlineStr"/>
      <c r="L88" s="37" t="inlineStr"/>
      <c r="M88" s="39">
        <f>IFERROR((G88-L88)/G88,0)</f>
        <v/>
      </c>
      <c r="N88" s="37" t="inlineStr"/>
      <c r="O88" s="37" t="inlineStr"/>
      <c r="P88" s="37" t="inlineStr"/>
      <c r="Q88" s="37" t="inlineStr"/>
      <c r="R88" s="37" t="inlineStr"/>
      <c r="S88" s="37" t="inlineStr"/>
      <c r="T88" s="37" t="inlineStr"/>
      <c r="U88" s="37" t="inlineStr"/>
      <c r="V88" s="38">
        <f>IFERROR(L88+N88+O88+P88+Q88+R88+S88+T88+U88,0)</f>
        <v/>
      </c>
      <c r="W88" s="38">
        <f>IFERROR(I88-W88,0)</f>
        <v/>
      </c>
      <c r="X88" s="39">
        <f>IFERROR(X88/G88,0)</f>
        <v/>
      </c>
    </row>
    <row r="89">
      <c r="A89" s="34" t="n">
        <v>86</v>
      </c>
      <c r="B89" s="35" t="inlineStr"/>
      <c r="C89" s="35" t="inlineStr"/>
      <c r="D89" s="36" t="inlineStr"/>
      <c r="E89" s="36" t="inlineStr"/>
      <c r="F89" s="37" t="inlineStr"/>
      <c r="G89" s="37" t="inlineStr"/>
      <c r="H89" s="37" t="inlineStr"/>
      <c r="I89" s="38">
        <f>IFERROR(G89-J89,0)</f>
        <v/>
      </c>
      <c r="J89" s="37" t="inlineStr"/>
      <c r="K89" s="37" t="inlineStr"/>
      <c r="L89" s="37" t="inlineStr"/>
      <c r="M89" s="39">
        <f>IFERROR((G89-L89)/G89,0)</f>
        <v/>
      </c>
      <c r="N89" s="37" t="inlineStr"/>
      <c r="O89" s="37" t="inlineStr"/>
      <c r="P89" s="37" t="inlineStr"/>
      <c r="Q89" s="37" t="inlineStr"/>
      <c r="R89" s="37" t="inlineStr"/>
      <c r="S89" s="37" t="inlineStr"/>
      <c r="T89" s="37" t="inlineStr"/>
      <c r="U89" s="37" t="inlineStr"/>
      <c r="V89" s="38">
        <f>IFERROR(L89+N89+O89+P89+Q89+R89+S89+T89+U89,0)</f>
        <v/>
      </c>
      <c r="W89" s="38">
        <f>IFERROR(I89-W89,0)</f>
        <v/>
      </c>
      <c r="X89" s="39">
        <f>IFERROR(X89/G89,0)</f>
        <v/>
      </c>
    </row>
    <row r="90">
      <c r="A90" s="34" t="n">
        <v>87</v>
      </c>
      <c r="B90" s="35" t="inlineStr"/>
      <c r="C90" s="35" t="inlineStr"/>
      <c r="D90" s="36" t="inlineStr"/>
      <c r="E90" s="36" t="inlineStr"/>
      <c r="F90" s="37" t="inlineStr"/>
      <c r="G90" s="37" t="inlineStr"/>
      <c r="H90" s="37" t="inlineStr"/>
      <c r="I90" s="38">
        <f>IFERROR(G90-J90,0)</f>
        <v/>
      </c>
      <c r="J90" s="37" t="inlineStr"/>
      <c r="K90" s="37" t="inlineStr"/>
      <c r="L90" s="37" t="inlineStr"/>
      <c r="M90" s="39">
        <f>IFERROR((G90-L90)/G90,0)</f>
        <v/>
      </c>
      <c r="N90" s="37" t="inlineStr"/>
      <c r="O90" s="37" t="inlineStr"/>
      <c r="P90" s="37" t="inlineStr"/>
      <c r="Q90" s="37" t="inlineStr"/>
      <c r="R90" s="37" t="inlineStr"/>
      <c r="S90" s="37" t="inlineStr"/>
      <c r="T90" s="37" t="inlineStr"/>
      <c r="U90" s="37" t="inlineStr"/>
      <c r="V90" s="38">
        <f>IFERROR(L90+N90+O90+P90+Q90+R90+S90+T90+U90,0)</f>
        <v/>
      </c>
      <c r="W90" s="38">
        <f>IFERROR(I90-W90,0)</f>
        <v/>
      </c>
      <c r="X90" s="39">
        <f>IFERROR(X90/G90,0)</f>
        <v/>
      </c>
    </row>
    <row r="91">
      <c r="A91" s="34" t="n">
        <v>88</v>
      </c>
      <c r="B91" s="35" t="inlineStr"/>
      <c r="C91" s="35" t="inlineStr"/>
      <c r="D91" s="36" t="inlineStr"/>
      <c r="E91" s="36" t="inlineStr"/>
      <c r="F91" s="37" t="inlineStr"/>
      <c r="G91" s="37" t="inlineStr"/>
      <c r="H91" s="37" t="inlineStr"/>
      <c r="I91" s="38">
        <f>IFERROR(G91-J91,0)</f>
        <v/>
      </c>
      <c r="J91" s="37" t="inlineStr"/>
      <c r="K91" s="37" t="inlineStr"/>
      <c r="L91" s="37" t="inlineStr"/>
      <c r="M91" s="39">
        <f>IFERROR((G91-L91)/G91,0)</f>
        <v/>
      </c>
      <c r="N91" s="37" t="inlineStr"/>
      <c r="O91" s="37" t="inlineStr"/>
      <c r="P91" s="37" t="inlineStr"/>
      <c r="Q91" s="37" t="inlineStr"/>
      <c r="R91" s="37" t="inlineStr"/>
      <c r="S91" s="37" t="inlineStr"/>
      <c r="T91" s="37" t="inlineStr"/>
      <c r="U91" s="37" t="inlineStr"/>
      <c r="V91" s="38">
        <f>IFERROR(L91+N91+O91+P91+Q91+R91+S91+T91+U91,0)</f>
        <v/>
      </c>
      <c r="W91" s="38">
        <f>IFERROR(I91-W91,0)</f>
        <v/>
      </c>
      <c r="X91" s="39">
        <f>IFERROR(X91/G91,0)</f>
        <v/>
      </c>
    </row>
    <row r="92">
      <c r="A92" s="34" t="n">
        <v>89</v>
      </c>
      <c r="B92" s="35" t="inlineStr"/>
      <c r="C92" s="35" t="inlineStr"/>
      <c r="D92" s="36" t="inlineStr"/>
      <c r="E92" s="36" t="inlineStr"/>
      <c r="F92" s="37" t="inlineStr"/>
      <c r="G92" s="37" t="inlineStr"/>
      <c r="H92" s="37" t="inlineStr"/>
      <c r="I92" s="38">
        <f>IFERROR(G92-J92,0)</f>
        <v/>
      </c>
      <c r="J92" s="37" t="inlineStr"/>
      <c r="K92" s="37" t="inlineStr"/>
      <c r="L92" s="37" t="inlineStr"/>
      <c r="M92" s="39">
        <f>IFERROR((G92-L92)/G92,0)</f>
        <v/>
      </c>
      <c r="N92" s="37" t="inlineStr"/>
      <c r="O92" s="37" t="inlineStr"/>
      <c r="P92" s="37" t="inlineStr"/>
      <c r="Q92" s="37" t="inlineStr"/>
      <c r="R92" s="37" t="inlineStr"/>
      <c r="S92" s="37" t="inlineStr"/>
      <c r="T92" s="37" t="inlineStr"/>
      <c r="U92" s="37" t="inlineStr"/>
      <c r="V92" s="38">
        <f>IFERROR(L92+N92+O92+P92+Q92+R92+S92+T92+U92,0)</f>
        <v/>
      </c>
      <c r="W92" s="38">
        <f>IFERROR(I92-W92,0)</f>
        <v/>
      </c>
      <c r="X92" s="39">
        <f>IFERROR(X92/G92,0)</f>
        <v/>
      </c>
    </row>
    <row r="93">
      <c r="A93" s="34" t="n">
        <v>90</v>
      </c>
      <c r="B93" s="35" t="inlineStr"/>
      <c r="C93" s="35" t="inlineStr"/>
      <c r="D93" s="36" t="inlineStr"/>
      <c r="E93" s="36" t="inlineStr"/>
      <c r="F93" s="37" t="inlineStr"/>
      <c r="G93" s="37" t="inlineStr"/>
      <c r="H93" s="37" t="inlineStr"/>
      <c r="I93" s="38">
        <f>IFERROR(G93-J93,0)</f>
        <v/>
      </c>
      <c r="J93" s="37" t="inlineStr"/>
      <c r="K93" s="37" t="inlineStr"/>
      <c r="L93" s="37" t="inlineStr"/>
      <c r="M93" s="39">
        <f>IFERROR((G93-L93)/G93,0)</f>
        <v/>
      </c>
      <c r="N93" s="37" t="inlineStr"/>
      <c r="O93" s="37" t="inlineStr"/>
      <c r="P93" s="37" t="inlineStr"/>
      <c r="Q93" s="37" t="inlineStr"/>
      <c r="R93" s="37" t="inlineStr"/>
      <c r="S93" s="37" t="inlineStr"/>
      <c r="T93" s="37" t="inlineStr"/>
      <c r="U93" s="37" t="inlineStr"/>
      <c r="V93" s="38">
        <f>IFERROR(L93+N93+O93+P93+Q93+R93+S93+T93+U93,0)</f>
        <v/>
      </c>
      <c r="W93" s="38">
        <f>IFERROR(I93-W93,0)</f>
        <v/>
      </c>
      <c r="X93" s="39">
        <f>IFERROR(X93/G93,0)</f>
        <v/>
      </c>
    </row>
    <row r="94">
      <c r="A94" s="34" t="n">
        <v>91</v>
      </c>
      <c r="B94" s="35" t="inlineStr"/>
      <c r="C94" s="35" t="inlineStr"/>
      <c r="D94" s="36" t="inlineStr"/>
      <c r="E94" s="36" t="inlineStr"/>
      <c r="F94" s="37" t="inlineStr"/>
      <c r="G94" s="37" t="inlineStr"/>
      <c r="H94" s="37" t="inlineStr"/>
      <c r="I94" s="38">
        <f>IFERROR(G94-J94,0)</f>
        <v/>
      </c>
      <c r="J94" s="37" t="inlineStr"/>
      <c r="K94" s="37" t="inlineStr"/>
      <c r="L94" s="37" t="inlineStr"/>
      <c r="M94" s="39">
        <f>IFERROR((G94-L94)/G94,0)</f>
        <v/>
      </c>
      <c r="N94" s="37" t="inlineStr"/>
      <c r="O94" s="37" t="inlineStr"/>
      <c r="P94" s="37" t="inlineStr"/>
      <c r="Q94" s="37" t="inlineStr"/>
      <c r="R94" s="37" t="inlineStr"/>
      <c r="S94" s="37" t="inlineStr"/>
      <c r="T94" s="37" t="inlineStr"/>
      <c r="U94" s="37" t="inlineStr"/>
      <c r="V94" s="38">
        <f>IFERROR(L94+N94+O94+P94+Q94+R94+S94+T94+U94,0)</f>
        <v/>
      </c>
      <c r="W94" s="38">
        <f>IFERROR(I94-W94,0)</f>
        <v/>
      </c>
      <c r="X94" s="39">
        <f>IFERROR(X94/G94,0)</f>
        <v/>
      </c>
    </row>
    <row r="95">
      <c r="A95" s="34" t="n">
        <v>92</v>
      </c>
      <c r="B95" s="35" t="inlineStr"/>
      <c r="C95" s="35" t="inlineStr"/>
      <c r="D95" s="36" t="inlineStr"/>
      <c r="E95" s="36" t="inlineStr"/>
      <c r="F95" s="37" t="inlineStr"/>
      <c r="G95" s="37" t="inlineStr"/>
      <c r="H95" s="37" t="inlineStr"/>
      <c r="I95" s="38">
        <f>IFERROR(G95-J95,0)</f>
        <v/>
      </c>
      <c r="J95" s="37" t="inlineStr"/>
      <c r="K95" s="37" t="inlineStr"/>
      <c r="L95" s="37" t="inlineStr"/>
      <c r="M95" s="39">
        <f>IFERROR((G95-L95)/G95,0)</f>
        <v/>
      </c>
      <c r="N95" s="37" t="inlineStr"/>
      <c r="O95" s="37" t="inlineStr"/>
      <c r="P95" s="37" t="inlineStr"/>
      <c r="Q95" s="37" t="inlineStr"/>
      <c r="R95" s="37" t="inlineStr"/>
      <c r="S95" s="37" t="inlineStr"/>
      <c r="T95" s="37" t="inlineStr"/>
      <c r="U95" s="37" t="inlineStr"/>
      <c r="V95" s="38">
        <f>IFERROR(L95+N95+O95+P95+Q95+R95+S95+T95+U95,0)</f>
        <v/>
      </c>
      <c r="W95" s="38">
        <f>IFERROR(I95-W95,0)</f>
        <v/>
      </c>
      <c r="X95" s="39">
        <f>IFERROR(X95/G95,0)</f>
        <v/>
      </c>
    </row>
    <row r="96">
      <c r="A96" s="34" t="n">
        <v>93</v>
      </c>
      <c r="B96" s="35" t="inlineStr"/>
      <c r="C96" s="35" t="inlineStr"/>
      <c r="D96" s="36" t="inlineStr"/>
      <c r="E96" s="36" t="inlineStr"/>
      <c r="F96" s="37" t="inlineStr"/>
      <c r="G96" s="37" t="inlineStr"/>
      <c r="H96" s="37" t="inlineStr"/>
      <c r="I96" s="38">
        <f>IFERROR(G96-J96,0)</f>
        <v/>
      </c>
      <c r="J96" s="37" t="inlineStr"/>
      <c r="K96" s="37" t="inlineStr"/>
      <c r="L96" s="37" t="inlineStr"/>
      <c r="M96" s="39">
        <f>IFERROR((G96-L96)/G96,0)</f>
        <v/>
      </c>
      <c r="N96" s="37" t="inlineStr"/>
      <c r="O96" s="37" t="inlineStr"/>
      <c r="P96" s="37" t="inlineStr"/>
      <c r="Q96" s="37" t="inlineStr"/>
      <c r="R96" s="37" t="inlineStr"/>
      <c r="S96" s="37" t="inlineStr"/>
      <c r="T96" s="37" t="inlineStr"/>
      <c r="U96" s="37" t="inlineStr"/>
      <c r="V96" s="38">
        <f>IFERROR(L96+N96+O96+P96+Q96+R96+S96+T96+U96,0)</f>
        <v/>
      </c>
      <c r="W96" s="38">
        <f>IFERROR(I96-W96,0)</f>
        <v/>
      </c>
      <c r="X96" s="39">
        <f>IFERROR(X96/G96,0)</f>
        <v/>
      </c>
    </row>
    <row r="97">
      <c r="A97" s="34" t="n">
        <v>94</v>
      </c>
      <c r="B97" s="35" t="inlineStr"/>
      <c r="C97" s="35" t="inlineStr"/>
      <c r="D97" s="36" t="inlineStr"/>
      <c r="E97" s="36" t="inlineStr"/>
      <c r="F97" s="37" t="inlineStr"/>
      <c r="G97" s="37" t="inlineStr"/>
      <c r="H97" s="37" t="inlineStr"/>
      <c r="I97" s="38">
        <f>IFERROR(G97-J97,0)</f>
        <v/>
      </c>
      <c r="J97" s="37" t="inlineStr"/>
      <c r="K97" s="37" t="inlineStr"/>
      <c r="L97" s="37" t="inlineStr"/>
      <c r="M97" s="39">
        <f>IFERROR((G97-L97)/G97,0)</f>
        <v/>
      </c>
      <c r="N97" s="37" t="inlineStr"/>
      <c r="O97" s="37" t="inlineStr"/>
      <c r="P97" s="37" t="inlineStr"/>
      <c r="Q97" s="37" t="inlineStr"/>
      <c r="R97" s="37" t="inlineStr"/>
      <c r="S97" s="37" t="inlineStr"/>
      <c r="T97" s="37" t="inlineStr"/>
      <c r="U97" s="37" t="inlineStr"/>
      <c r="V97" s="38">
        <f>IFERROR(L97+N97+O97+P97+Q97+R97+S97+T97+U97,0)</f>
        <v/>
      </c>
      <c r="W97" s="38">
        <f>IFERROR(I97-W97,0)</f>
        <v/>
      </c>
      <c r="X97" s="39">
        <f>IFERROR(X97/G97,0)</f>
        <v/>
      </c>
    </row>
    <row r="98">
      <c r="A98" s="34" t="n">
        <v>95</v>
      </c>
      <c r="B98" s="35" t="inlineStr"/>
      <c r="C98" s="35" t="inlineStr"/>
      <c r="D98" s="36" t="inlineStr"/>
      <c r="E98" s="36" t="inlineStr"/>
      <c r="F98" s="37" t="inlineStr"/>
      <c r="G98" s="37" t="inlineStr"/>
      <c r="H98" s="37" t="inlineStr"/>
      <c r="I98" s="38">
        <f>IFERROR(G98-J98,0)</f>
        <v/>
      </c>
      <c r="J98" s="37" t="inlineStr"/>
      <c r="K98" s="37" t="inlineStr"/>
      <c r="L98" s="37" t="inlineStr"/>
      <c r="M98" s="39">
        <f>IFERROR((G98-L98)/G98,0)</f>
        <v/>
      </c>
      <c r="N98" s="37" t="inlineStr"/>
      <c r="O98" s="37" t="inlineStr"/>
      <c r="P98" s="37" t="inlineStr"/>
      <c r="Q98" s="37" t="inlineStr"/>
      <c r="R98" s="37" t="inlineStr"/>
      <c r="S98" s="37" t="inlineStr"/>
      <c r="T98" s="37" t="inlineStr"/>
      <c r="U98" s="37" t="inlineStr"/>
      <c r="V98" s="38">
        <f>IFERROR(L98+N98+O98+P98+Q98+R98+S98+T98+U98,0)</f>
        <v/>
      </c>
      <c r="W98" s="38">
        <f>IFERROR(I98-W98,0)</f>
        <v/>
      </c>
      <c r="X98" s="39">
        <f>IFERROR(X98/G98,0)</f>
        <v/>
      </c>
    </row>
    <row r="99">
      <c r="A99" s="34" t="n">
        <v>96</v>
      </c>
      <c r="B99" s="35" t="inlineStr"/>
      <c r="C99" s="35" t="inlineStr"/>
      <c r="D99" s="36" t="inlineStr"/>
      <c r="E99" s="36" t="inlineStr"/>
      <c r="F99" s="37" t="inlineStr"/>
      <c r="G99" s="37" t="inlineStr"/>
      <c r="H99" s="37" t="inlineStr"/>
      <c r="I99" s="38">
        <f>IFERROR(G99-J99,0)</f>
        <v/>
      </c>
      <c r="J99" s="37" t="inlineStr"/>
      <c r="K99" s="37" t="inlineStr"/>
      <c r="L99" s="37" t="inlineStr"/>
      <c r="M99" s="39">
        <f>IFERROR((G99-L99)/G99,0)</f>
        <v/>
      </c>
      <c r="N99" s="37" t="inlineStr"/>
      <c r="O99" s="37" t="inlineStr"/>
      <c r="P99" s="37" t="inlineStr"/>
      <c r="Q99" s="37" t="inlineStr"/>
      <c r="R99" s="37" t="inlineStr"/>
      <c r="S99" s="37" t="inlineStr"/>
      <c r="T99" s="37" t="inlineStr"/>
      <c r="U99" s="37" t="inlineStr"/>
      <c r="V99" s="38">
        <f>IFERROR(L99+N99+O99+P99+Q99+R99+S99+T99+U99,0)</f>
        <v/>
      </c>
      <c r="W99" s="38">
        <f>IFERROR(I99-W99,0)</f>
        <v/>
      </c>
      <c r="X99" s="39">
        <f>IFERROR(X99/G99,0)</f>
        <v/>
      </c>
    </row>
    <row r="100">
      <c r="A100" s="34" t="n">
        <v>97</v>
      </c>
      <c r="B100" s="35" t="inlineStr"/>
      <c r="C100" s="35" t="inlineStr"/>
      <c r="D100" s="36" t="inlineStr"/>
      <c r="E100" s="36" t="inlineStr"/>
      <c r="F100" s="37" t="inlineStr"/>
      <c r="G100" s="37" t="inlineStr"/>
      <c r="H100" s="37" t="inlineStr"/>
      <c r="I100" s="38">
        <f>IFERROR(G100-J100,0)</f>
        <v/>
      </c>
      <c r="J100" s="37" t="inlineStr"/>
      <c r="K100" s="37" t="inlineStr"/>
      <c r="L100" s="37" t="inlineStr"/>
      <c r="M100" s="39">
        <f>IFERROR((G100-L100)/G100,0)</f>
        <v/>
      </c>
      <c r="N100" s="37" t="inlineStr"/>
      <c r="O100" s="37" t="inlineStr"/>
      <c r="P100" s="37" t="inlineStr"/>
      <c r="Q100" s="37" t="inlineStr"/>
      <c r="R100" s="37" t="inlineStr"/>
      <c r="S100" s="37" t="inlineStr"/>
      <c r="T100" s="37" t="inlineStr"/>
      <c r="U100" s="37" t="inlineStr"/>
      <c r="V100" s="38">
        <f>IFERROR(L100+N100+O100+P100+Q100+R100+S100+T100+U100,0)</f>
        <v/>
      </c>
      <c r="W100" s="38">
        <f>IFERROR(I100-W100,0)</f>
        <v/>
      </c>
      <c r="X100" s="39">
        <f>IFERROR(X100/G100,0)</f>
        <v/>
      </c>
    </row>
    <row r="101">
      <c r="A101" s="34" t="n">
        <v>98</v>
      </c>
      <c r="B101" s="35" t="inlineStr"/>
      <c r="C101" s="35" t="inlineStr"/>
      <c r="D101" s="36" t="inlineStr"/>
      <c r="E101" s="36" t="inlineStr"/>
      <c r="F101" s="37" t="inlineStr"/>
      <c r="G101" s="37" t="inlineStr"/>
      <c r="H101" s="37" t="inlineStr"/>
      <c r="I101" s="38">
        <f>IFERROR(G101-J101,0)</f>
        <v/>
      </c>
      <c r="J101" s="37" t="inlineStr"/>
      <c r="K101" s="37" t="inlineStr"/>
      <c r="L101" s="37" t="inlineStr"/>
      <c r="M101" s="39">
        <f>IFERROR((G101-L101)/G101,0)</f>
        <v/>
      </c>
      <c r="N101" s="37" t="inlineStr"/>
      <c r="O101" s="37" t="inlineStr"/>
      <c r="P101" s="37" t="inlineStr"/>
      <c r="Q101" s="37" t="inlineStr"/>
      <c r="R101" s="37" t="inlineStr"/>
      <c r="S101" s="37" t="inlineStr"/>
      <c r="T101" s="37" t="inlineStr"/>
      <c r="U101" s="37" t="inlineStr"/>
      <c r="V101" s="38">
        <f>IFERROR(L101+N101+O101+P101+Q101+R101+S101+T101+U101,0)</f>
        <v/>
      </c>
      <c r="W101" s="38">
        <f>IFERROR(I101-W101,0)</f>
        <v/>
      </c>
      <c r="X101" s="39">
        <f>IFERROR(X101/G101,0)</f>
        <v/>
      </c>
    </row>
    <row r="102">
      <c r="A102" s="34" t="n">
        <v>99</v>
      </c>
      <c r="B102" s="35" t="inlineStr"/>
      <c r="C102" s="35" t="inlineStr"/>
      <c r="D102" s="36" t="inlineStr"/>
      <c r="E102" s="36" t="inlineStr"/>
      <c r="F102" s="37" t="inlineStr"/>
      <c r="G102" s="37" t="inlineStr"/>
      <c r="H102" s="37" t="inlineStr"/>
      <c r="I102" s="38">
        <f>IFERROR(G102-J102,0)</f>
        <v/>
      </c>
      <c r="J102" s="37" t="inlineStr"/>
      <c r="K102" s="37" t="inlineStr"/>
      <c r="L102" s="37" t="inlineStr"/>
      <c r="M102" s="39">
        <f>IFERROR((G102-L102)/G102,0)</f>
        <v/>
      </c>
      <c r="N102" s="37" t="inlineStr"/>
      <c r="O102" s="37" t="inlineStr"/>
      <c r="P102" s="37" t="inlineStr"/>
      <c r="Q102" s="37" t="inlineStr"/>
      <c r="R102" s="37" t="inlineStr"/>
      <c r="S102" s="37" t="inlineStr"/>
      <c r="T102" s="37" t="inlineStr"/>
      <c r="U102" s="37" t="inlineStr"/>
      <c r="V102" s="38">
        <f>IFERROR(L102+N102+O102+P102+Q102+R102+S102+T102+U102,0)</f>
        <v/>
      </c>
      <c r="W102" s="38">
        <f>IFERROR(I102-W102,0)</f>
        <v/>
      </c>
      <c r="X102" s="39">
        <f>IFERROR(X102/G102,0)</f>
        <v/>
      </c>
    </row>
    <row r="103">
      <c r="A103" s="34" t="n">
        <v>100</v>
      </c>
      <c r="B103" s="35" t="inlineStr"/>
      <c r="C103" s="35" t="inlineStr"/>
      <c r="D103" s="36" t="inlineStr"/>
      <c r="E103" s="36" t="inlineStr"/>
      <c r="F103" s="37" t="inlineStr"/>
      <c r="G103" s="37" t="inlineStr"/>
      <c r="H103" s="37" t="inlineStr"/>
      <c r="I103" s="38">
        <f>IFERROR(G103-J103,0)</f>
        <v/>
      </c>
      <c r="J103" s="37" t="inlineStr"/>
      <c r="K103" s="37" t="inlineStr"/>
      <c r="L103" s="37" t="inlineStr"/>
      <c r="M103" s="39">
        <f>IFERROR((G103-L103)/G103,0)</f>
        <v/>
      </c>
      <c r="N103" s="37" t="inlineStr"/>
      <c r="O103" s="37" t="inlineStr"/>
      <c r="P103" s="37" t="inlineStr"/>
      <c r="Q103" s="37" t="inlineStr"/>
      <c r="R103" s="37" t="inlineStr"/>
      <c r="S103" s="37" t="inlineStr"/>
      <c r="T103" s="37" t="inlineStr"/>
      <c r="U103" s="37" t="inlineStr"/>
      <c r="V103" s="38">
        <f>IFERROR(L103+N103+O103+P103+Q103+R103+S103+T103+U103,0)</f>
        <v/>
      </c>
      <c r="W103" s="38">
        <f>IFERROR(I103-W103,0)</f>
        <v/>
      </c>
      <c r="X103" s="39">
        <f>IFERROR(X103/G103,0)</f>
        <v/>
      </c>
    </row>
    <row r="104">
      <c r="A104" s="40" t="inlineStr">
        <is>
          <t>合计</t>
        </is>
      </c>
      <c r="D104" s="41">
        <f>SUM(D4:D102)</f>
        <v/>
      </c>
      <c r="E104" s="41">
        <f>SUM(E4:E102)</f>
        <v/>
      </c>
      <c r="F104" s="23">
        <f>SUM(F4:F102)</f>
        <v/>
      </c>
      <c r="G104" s="23">
        <f>SUM(G4:G102)</f>
        <v/>
      </c>
      <c r="H104" s="23">
        <f>SUM(H4:H102)</f>
        <v/>
      </c>
      <c r="I104" s="23">
        <f>SUM(I4:I102)</f>
        <v/>
      </c>
      <c r="J104" s="23">
        <f>SUM(J4:J102)</f>
        <v/>
      </c>
      <c r="K104" s="23">
        <f>SUM(K4:K102)</f>
        <v/>
      </c>
      <c r="L104" s="23">
        <f>SUM(L4:L102)</f>
        <v/>
      </c>
      <c r="M104" s="24">
        <f>IFERROR((G104-L104)/G104,0)</f>
        <v/>
      </c>
      <c r="N104" s="23">
        <f>SUM(N4:N102)</f>
        <v/>
      </c>
      <c r="O104" s="23">
        <f>SUM(O4:O102)</f>
        <v/>
      </c>
      <c r="P104" s="23">
        <f>SUM(P4:P102)</f>
        <v/>
      </c>
      <c r="Q104" s="23">
        <f>SUM(Q4:Q102)</f>
        <v/>
      </c>
      <c r="R104" s="23">
        <f>SUM(R4:R102)</f>
        <v/>
      </c>
      <c r="S104" s="23">
        <f>SUM(S4:S102)</f>
        <v/>
      </c>
      <c r="T104" s="23">
        <f>SUM(T4:T102)</f>
        <v/>
      </c>
      <c r="U104" s="23">
        <f>SUM(U4:U102)</f>
        <v/>
      </c>
      <c r="V104" s="23">
        <f>SUM(W4:W102)</f>
        <v/>
      </c>
      <c r="W104" s="23">
        <f>SUM(X4:X102)</f>
        <v/>
      </c>
      <c r="X104" s="24">
        <f>IFERROR(X104/G104,0)</f>
        <v/>
      </c>
    </row>
  </sheetData>
  <mergeCells count="10">
    <mergeCell ref="D2:F2"/>
    <mergeCell ref="L2:M2"/>
    <mergeCell ref="Q2:R2"/>
    <mergeCell ref="N2:P2"/>
    <mergeCell ref="S2:U2"/>
    <mergeCell ref="G2:K2"/>
    <mergeCell ref="A104:C104"/>
    <mergeCell ref="A1:X1"/>
    <mergeCell ref="A2:C2"/>
    <mergeCell ref="V2:X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42" customWidth="1" min="5" max="5"/>
  </cols>
  <sheetData>
    <row r="1" ht="30" customHeight="1">
      <c r="A1" s="11" t="inlineStr">
        <is>
          <t>成本结构与费用占比（全部THB）</t>
        </is>
      </c>
    </row>
    <row r="2">
      <c r="A2" s="15" t="inlineStr">
        <is>
          <t>成本项目</t>
        </is>
      </c>
      <c r="B2" s="15" t="inlineStr">
        <is>
          <t>金额(THB)</t>
        </is>
      </c>
      <c r="C2" s="15" t="inlineStr">
        <is>
          <t>占有效销售额比</t>
        </is>
      </c>
      <c r="D2" s="15" t="inlineStr">
        <is>
          <t>说明</t>
        </is>
      </c>
    </row>
    <row r="3">
      <c r="B3" s="3" t="inlineStr">
        <is>
          <t>商品成本(CNY→THB)</t>
        </is>
      </c>
      <c r="C3" s="20">
        <f>SUM(利润明细!L:L)</f>
        <v/>
      </c>
      <c r="D3" s="21">
        <f>IFERROR(C3/SUM(利润明细!G:G),0)</f>
        <v/>
      </c>
      <c r="E3" s="4" t="inlineStr">
        <is>
          <t>成本价(CNY)×汇率，含头程物流</t>
        </is>
      </c>
    </row>
    <row r="4">
      <c r="B4" s="3" t="inlineStr">
        <is>
          <t>平台佣金</t>
        </is>
      </c>
      <c r="C4" s="20">
        <f>SUM(利润明细!N:N)</f>
        <v/>
      </c>
      <c r="D4" s="21">
        <f>IFERROR(C4/SUM(利润明细!G:G),0)</f>
        <v/>
      </c>
      <c r="E4" s="4" t="inlineStr">
        <is>
          <t>TikTok Shop佣金</t>
        </is>
      </c>
    </row>
    <row r="5">
      <c r="B5" s="3" t="inlineStr">
        <is>
          <t>交易手续费</t>
        </is>
      </c>
      <c r="C5" s="20">
        <f>SUM(利润明细!O:O)</f>
        <v/>
      </c>
      <c r="D5" s="21">
        <f>IFERROR(C5/SUM(利润明细!G:G),0)</f>
        <v/>
      </c>
      <c r="E5" s="4" t="inlineStr">
        <is>
          <t>支付通道费</t>
        </is>
      </c>
    </row>
    <row r="6">
      <c r="B6" s="3" t="inlineStr">
        <is>
          <t>平台税费及其他</t>
        </is>
      </c>
      <c r="C6" s="20">
        <f>SUM(利润明细!P:P)</f>
        <v/>
      </c>
      <c r="D6" s="21">
        <f>IFERROR(C6/SUM(利润明细!G:G),0)</f>
        <v/>
      </c>
      <c r="E6" s="4" t="inlineStr">
        <is>
          <t>电商增长+基础设施+其他</t>
        </is>
      </c>
    </row>
    <row r="7">
      <c r="B7" s="3" t="inlineStr">
        <is>
          <t>推广费用</t>
        </is>
      </c>
      <c r="C7" s="20">
        <f>SUM(利润明细!Q:Q)</f>
        <v/>
      </c>
      <c r="D7" s="21">
        <f>IFERROR(C7/SUM(利润明细!G:G),0)</f>
        <v/>
      </c>
      <c r="E7" s="4" t="inlineStr">
        <is>
          <t>GMV Max广告费</t>
        </is>
      </c>
    </row>
    <row r="8">
      <c r="B8" s="3" t="inlineStr">
        <is>
          <t>达人佣金</t>
        </is>
      </c>
      <c r="C8" s="20">
        <f>SUM(利润明细!R:R)</f>
        <v/>
      </c>
      <c r="D8" s="21">
        <f>IFERROR(C8/SUM(利润明细!G:G),0)</f>
        <v/>
      </c>
      <c r="E8" s="4" t="inlineStr">
        <is>
          <t>联盟佣金</t>
        </is>
      </c>
    </row>
    <row r="9">
      <c r="B9" s="3" t="inlineStr">
        <is>
          <t>尾程物流</t>
        </is>
      </c>
      <c r="C9" s="20">
        <f>SUM(利润明细!S:S)</f>
        <v/>
      </c>
      <c r="D9" s="21">
        <f>IFERROR(C9/SUM(利润明细!G:G),0)</f>
        <v/>
      </c>
      <c r="E9" s="4" t="inlineStr">
        <is>
          <t>商家运费</t>
        </is>
      </c>
    </row>
    <row r="10">
      <c r="B10" s="3" t="inlineStr">
        <is>
          <t>售后损失</t>
        </is>
      </c>
      <c r="C10" s="20">
        <f>SUM(利润明细!U:U)</f>
        <v/>
      </c>
      <c r="D10" s="21">
        <f>IFERROR(C10/SUM(利润明细!G:G),0)</f>
        <v/>
      </c>
      <c r="E10" s="4" t="inlineStr">
        <is>
          <t>退款中商家承担</t>
        </is>
      </c>
    </row>
    <row r="11">
      <c r="B11" s="3" t="inlineStr">
        <is>
          <t>其他费用(CNY→THB)</t>
        </is>
      </c>
      <c r="C11" s="20">
        <f>SUM(利润明细!V:V)</f>
        <v/>
      </c>
      <c r="D11" s="21">
        <f>IFERROR(C11/SUM(利润明细!G:G),0)</f>
        <v/>
      </c>
      <c r="E11" s="4" t="inlineStr">
        <is>
          <t>杂项(CNY)×汇率</t>
        </is>
      </c>
    </row>
    <row r="12">
      <c r="B12" s="26" t="inlineStr">
        <is>
          <t>总变动成本</t>
        </is>
      </c>
      <c r="C12" s="27">
        <f>SUM(C3:C11)</f>
        <v/>
      </c>
      <c r="D12" s="28">
        <f>IFERROR(C12/SUM(利润明细!G:G),0)</f>
        <v/>
      </c>
      <c r="E12" s="26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1" t="inlineStr">
        <is>
          <t>推广效果分析（THB）</t>
        </is>
      </c>
    </row>
    <row r="2">
      <c r="A2" s="15" t="inlineStr">
        <is>
          <t>广告组名称</t>
        </is>
      </c>
      <c r="B2" s="15" t="inlineStr">
        <is>
          <t>消耗(Cost)</t>
        </is>
      </c>
      <c r="C2" s="15" t="inlineStr">
        <is>
          <t>净消耗(Net Cost)</t>
        </is>
      </c>
      <c r="D2" s="15" t="inlineStr">
        <is>
          <t>SKU订单数</t>
        </is>
      </c>
      <c r="E2" s="15" t="inlineStr">
        <is>
          <t>单均成本</t>
        </is>
      </c>
      <c r="F2" s="15" t="inlineStr">
        <is>
          <t>总收入(Gross Rev)</t>
        </is>
      </c>
      <c r="G2" s="15" t="inlineStr">
        <is>
          <t>ROI</t>
        </is>
      </c>
      <c r="H2" s="15" t="inlineStr">
        <is>
          <t>说明</t>
        </is>
      </c>
    </row>
    <row r="3">
      <c r="B3" s="35" t="inlineStr"/>
      <c r="C3" s="37" t="inlineStr"/>
      <c r="D3" s="37" t="inlineStr"/>
      <c r="E3" s="37" t="inlineStr"/>
      <c r="F3" s="37" t="inlineStr"/>
      <c r="G3" s="42" t="inlineStr"/>
      <c r="H3" s="43" t="inlineStr"/>
    </row>
    <row r="4">
      <c r="B4" s="35" t="inlineStr"/>
      <c r="C4" s="37" t="inlineStr"/>
      <c r="D4" s="37" t="inlineStr"/>
      <c r="E4" s="37" t="inlineStr"/>
      <c r="F4" s="37" t="inlineStr"/>
      <c r="G4" s="42" t="inlineStr"/>
      <c r="H4" s="43" t="inlineStr"/>
    </row>
    <row r="5">
      <c r="B5" s="35" t="inlineStr"/>
      <c r="C5" s="37" t="inlineStr"/>
      <c r="D5" s="37" t="inlineStr"/>
      <c r="E5" s="37" t="inlineStr"/>
      <c r="F5" s="37" t="inlineStr"/>
      <c r="G5" s="42" t="inlineStr"/>
      <c r="H5" s="43" t="inlineStr"/>
    </row>
    <row r="6">
      <c r="B6" s="35" t="inlineStr"/>
      <c r="C6" s="37" t="inlineStr"/>
      <c r="D6" s="37" t="inlineStr"/>
      <c r="E6" s="37" t="inlineStr"/>
      <c r="F6" s="37" t="inlineStr"/>
      <c r="G6" s="42" t="inlineStr"/>
      <c r="H6" s="43" t="inlineStr"/>
    </row>
    <row r="7">
      <c r="B7" s="35" t="inlineStr"/>
      <c r="C7" s="37" t="inlineStr"/>
      <c r="D7" s="37" t="inlineStr"/>
      <c r="E7" s="37" t="inlineStr"/>
      <c r="F7" s="37" t="inlineStr"/>
      <c r="G7" s="42" t="inlineStr"/>
      <c r="H7" s="43" t="inlineStr"/>
    </row>
    <row r="8">
      <c r="B8" s="35" t="inlineStr"/>
      <c r="C8" s="37" t="inlineStr"/>
      <c r="D8" s="37" t="inlineStr"/>
      <c r="E8" s="37" t="inlineStr"/>
      <c r="F8" s="37" t="inlineStr"/>
      <c r="G8" s="42" t="inlineStr"/>
      <c r="H8" s="43" t="inlineStr"/>
    </row>
    <row r="9">
      <c r="B9" s="35" t="inlineStr"/>
      <c r="C9" s="37" t="inlineStr"/>
      <c r="D9" s="37" t="inlineStr"/>
      <c r="E9" s="37" t="inlineStr"/>
      <c r="F9" s="37" t="inlineStr"/>
      <c r="G9" s="42" t="inlineStr"/>
      <c r="H9" s="43" t="inlineStr"/>
    </row>
    <row r="10">
      <c r="B10" s="35" t="inlineStr"/>
      <c r="C10" s="37" t="inlineStr"/>
      <c r="D10" s="37" t="inlineStr"/>
      <c r="E10" s="37" t="inlineStr"/>
      <c r="F10" s="37" t="inlineStr"/>
      <c r="G10" s="42" t="inlineStr"/>
      <c r="H10" s="43" t="inlineStr"/>
    </row>
    <row r="11">
      <c r="B11" s="35" t="inlineStr"/>
      <c r="C11" s="37" t="inlineStr"/>
      <c r="D11" s="37" t="inlineStr"/>
      <c r="E11" s="37" t="inlineStr"/>
      <c r="F11" s="37" t="inlineStr"/>
      <c r="G11" s="42" t="inlineStr"/>
      <c r="H11" s="43" t="inlineStr"/>
    </row>
    <row r="12">
      <c r="B12" s="35" t="inlineStr"/>
      <c r="C12" s="37" t="inlineStr"/>
      <c r="D12" s="37" t="inlineStr"/>
      <c r="E12" s="37" t="inlineStr"/>
      <c r="F12" s="37" t="inlineStr"/>
      <c r="G12" s="42" t="inlineStr"/>
      <c r="H12" s="43" t="inlineStr"/>
    </row>
    <row r="13">
      <c r="B13" s="35" t="inlineStr"/>
      <c r="C13" s="37" t="inlineStr"/>
      <c r="D13" s="37" t="inlineStr"/>
      <c r="E13" s="37" t="inlineStr"/>
      <c r="F13" s="37" t="inlineStr"/>
      <c r="G13" s="42" t="inlineStr"/>
      <c r="H13" s="43" t="inlineStr"/>
    </row>
    <row r="14">
      <c r="B14" s="35" t="inlineStr"/>
      <c r="C14" s="37" t="inlineStr"/>
      <c r="D14" s="37" t="inlineStr"/>
      <c r="E14" s="37" t="inlineStr"/>
      <c r="F14" s="37" t="inlineStr"/>
      <c r="G14" s="42" t="inlineStr"/>
      <c r="H14" s="43" t="inlineStr"/>
    </row>
    <row r="15">
      <c r="B15" s="35" t="inlineStr"/>
      <c r="C15" s="37" t="inlineStr"/>
      <c r="D15" s="37" t="inlineStr"/>
      <c r="E15" s="37" t="inlineStr"/>
      <c r="F15" s="37" t="inlineStr"/>
      <c r="G15" s="42" t="inlineStr"/>
      <c r="H15" s="43" t="inlineStr"/>
    </row>
    <row r="16">
      <c r="B16" s="35" t="inlineStr"/>
      <c r="C16" s="37" t="inlineStr"/>
      <c r="D16" s="37" t="inlineStr"/>
      <c r="E16" s="37" t="inlineStr"/>
      <c r="F16" s="37" t="inlineStr"/>
      <c r="G16" s="42" t="inlineStr"/>
      <c r="H16" s="43" t="inlineStr"/>
    </row>
    <row r="17">
      <c r="B17" s="35" t="inlineStr"/>
      <c r="C17" s="37" t="inlineStr"/>
      <c r="D17" s="37" t="inlineStr"/>
      <c r="E17" s="37" t="inlineStr"/>
      <c r="F17" s="37" t="inlineStr"/>
      <c r="G17" s="42" t="inlineStr"/>
      <c r="H17" s="43" t="inlineStr"/>
    </row>
    <row r="18">
      <c r="B18" s="35" t="inlineStr"/>
      <c r="C18" s="37" t="inlineStr"/>
      <c r="D18" s="37" t="inlineStr"/>
      <c r="E18" s="37" t="inlineStr"/>
      <c r="F18" s="37" t="inlineStr"/>
      <c r="G18" s="42" t="inlineStr"/>
      <c r="H18" s="43" t="inlineStr"/>
    </row>
    <row r="19">
      <c r="B19" s="35" t="inlineStr"/>
      <c r="C19" s="37" t="inlineStr"/>
      <c r="D19" s="37" t="inlineStr"/>
      <c r="E19" s="37" t="inlineStr"/>
      <c r="F19" s="37" t="inlineStr"/>
      <c r="G19" s="42" t="inlineStr"/>
      <c r="H19" s="43" t="inlineStr"/>
    </row>
    <row r="20">
      <c r="B20" s="35" t="inlineStr"/>
      <c r="C20" s="37" t="inlineStr"/>
      <c r="D20" s="37" t="inlineStr"/>
      <c r="E20" s="37" t="inlineStr"/>
      <c r="F20" s="37" t="inlineStr"/>
      <c r="G20" s="42" t="inlineStr"/>
      <c r="H20" s="43" t="inlineStr"/>
    </row>
    <row r="21">
      <c r="B21" s="35" t="inlineStr"/>
      <c r="C21" s="37" t="inlineStr"/>
      <c r="D21" s="37" t="inlineStr"/>
      <c r="E21" s="37" t="inlineStr"/>
      <c r="F21" s="37" t="inlineStr"/>
      <c r="G21" s="42" t="inlineStr"/>
      <c r="H21" s="43" t="inlineStr"/>
    </row>
    <row r="22">
      <c r="B22" s="35" t="inlineStr"/>
      <c r="C22" s="37" t="inlineStr"/>
      <c r="D22" s="37" t="inlineStr"/>
      <c r="E22" s="37" t="inlineStr"/>
      <c r="F22" s="37" t="inlineStr"/>
      <c r="G22" s="42" t="inlineStr"/>
      <c r="H22" s="43" t="inlineStr"/>
    </row>
    <row r="23">
      <c r="B23" s="35" t="inlineStr"/>
      <c r="C23" s="37" t="inlineStr"/>
      <c r="D23" s="37" t="inlineStr"/>
      <c r="E23" s="37" t="inlineStr"/>
      <c r="F23" s="37" t="inlineStr"/>
      <c r="G23" s="42" t="inlineStr"/>
      <c r="H23" s="43" t="inlineStr"/>
    </row>
    <row r="24">
      <c r="B24" s="35" t="inlineStr"/>
      <c r="C24" s="37" t="inlineStr"/>
      <c r="D24" s="37" t="inlineStr"/>
      <c r="E24" s="37" t="inlineStr"/>
      <c r="F24" s="37" t="inlineStr"/>
      <c r="G24" s="42" t="inlineStr"/>
      <c r="H24" s="43" t="inlineStr"/>
    </row>
    <row r="25">
      <c r="B25" s="35" t="inlineStr"/>
      <c r="C25" s="37" t="inlineStr"/>
      <c r="D25" s="37" t="inlineStr"/>
      <c r="E25" s="37" t="inlineStr"/>
      <c r="F25" s="37" t="inlineStr"/>
      <c r="G25" s="42" t="inlineStr"/>
      <c r="H25" s="43" t="inlineStr"/>
    </row>
    <row r="26">
      <c r="B26" s="35" t="inlineStr"/>
      <c r="C26" s="37" t="inlineStr"/>
      <c r="D26" s="37" t="inlineStr"/>
      <c r="E26" s="37" t="inlineStr"/>
      <c r="F26" s="37" t="inlineStr"/>
      <c r="G26" s="42" t="inlineStr"/>
      <c r="H26" s="43" t="inlineStr"/>
    </row>
    <row r="27">
      <c r="B27" s="35" t="inlineStr"/>
      <c r="C27" s="37" t="inlineStr"/>
      <c r="D27" s="37" t="inlineStr"/>
      <c r="E27" s="37" t="inlineStr"/>
      <c r="F27" s="37" t="inlineStr"/>
      <c r="G27" s="42" t="inlineStr"/>
      <c r="H27" s="43" t="inlineStr"/>
    </row>
    <row r="28">
      <c r="B28" s="35" t="inlineStr"/>
      <c r="C28" s="37" t="inlineStr"/>
      <c r="D28" s="37" t="inlineStr"/>
      <c r="E28" s="37" t="inlineStr"/>
      <c r="F28" s="37" t="inlineStr"/>
      <c r="G28" s="42" t="inlineStr"/>
      <c r="H28" s="43" t="inlineStr"/>
    </row>
    <row r="29">
      <c r="B29" s="35" t="inlineStr"/>
      <c r="C29" s="37" t="inlineStr"/>
      <c r="D29" s="37" t="inlineStr"/>
      <c r="E29" s="37" t="inlineStr"/>
      <c r="F29" s="37" t="inlineStr"/>
      <c r="G29" s="42" t="inlineStr"/>
      <c r="H29" s="43" t="inlineStr"/>
    </row>
    <row r="30">
      <c r="B30" s="35" t="inlineStr"/>
      <c r="C30" s="37" t="inlineStr"/>
      <c r="D30" s="37" t="inlineStr"/>
      <c r="E30" s="37" t="inlineStr"/>
      <c r="F30" s="37" t="inlineStr"/>
      <c r="G30" s="42" t="inlineStr"/>
      <c r="H30" s="43" t="inlineStr"/>
    </row>
    <row r="31">
      <c r="B31" s="35" t="inlineStr"/>
      <c r="C31" s="37" t="inlineStr"/>
      <c r="D31" s="37" t="inlineStr"/>
      <c r="E31" s="37" t="inlineStr"/>
      <c r="F31" s="37" t="inlineStr"/>
      <c r="G31" s="42" t="inlineStr"/>
      <c r="H31" s="43" t="inlineStr"/>
    </row>
    <row r="32">
      <c r="B32" s="35" t="inlineStr"/>
      <c r="C32" s="37" t="inlineStr"/>
      <c r="D32" s="37" t="inlineStr"/>
      <c r="E32" s="37" t="inlineStr"/>
      <c r="F32" s="37" t="inlineStr"/>
      <c r="G32" s="42" t="inlineStr"/>
      <c r="H32" s="43" t="inlineStr"/>
    </row>
    <row r="33">
      <c r="B33" s="35" t="inlineStr"/>
      <c r="C33" s="37" t="inlineStr"/>
      <c r="D33" s="37" t="inlineStr"/>
      <c r="E33" s="37" t="inlineStr"/>
      <c r="F33" s="37" t="inlineStr"/>
      <c r="G33" s="42" t="inlineStr"/>
      <c r="H33" s="43" t="inlineStr"/>
    </row>
    <row r="34">
      <c r="B34" s="35" t="inlineStr"/>
      <c r="C34" s="37" t="inlineStr"/>
      <c r="D34" s="37" t="inlineStr"/>
      <c r="E34" s="37" t="inlineStr"/>
      <c r="F34" s="37" t="inlineStr"/>
      <c r="G34" s="42" t="inlineStr"/>
      <c r="H34" s="43" t="inlineStr"/>
    </row>
    <row r="35">
      <c r="B35" s="35" t="inlineStr"/>
      <c r="C35" s="37" t="inlineStr"/>
      <c r="D35" s="37" t="inlineStr"/>
      <c r="E35" s="37" t="inlineStr"/>
      <c r="F35" s="37" t="inlineStr"/>
      <c r="G35" s="42" t="inlineStr"/>
      <c r="H35" s="43" t="inlineStr"/>
    </row>
    <row r="36">
      <c r="B36" s="35" t="inlineStr"/>
      <c r="C36" s="37" t="inlineStr"/>
      <c r="D36" s="37" t="inlineStr"/>
      <c r="E36" s="37" t="inlineStr"/>
      <c r="F36" s="37" t="inlineStr"/>
      <c r="G36" s="42" t="inlineStr"/>
      <c r="H36" s="43" t="inlineStr"/>
    </row>
    <row r="37">
      <c r="B37" s="35" t="inlineStr"/>
      <c r="C37" s="37" t="inlineStr"/>
      <c r="D37" s="37" t="inlineStr"/>
      <c r="E37" s="37" t="inlineStr"/>
      <c r="F37" s="37" t="inlineStr"/>
      <c r="G37" s="42" t="inlineStr"/>
      <c r="H37" s="43" t="inlineStr"/>
    </row>
    <row r="38">
      <c r="B38" s="35" t="inlineStr"/>
      <c r="C38" s="37" t="inlineStr"/>
      <c r="D38" s="37" t="inlineStr"/>
      <c r="E38" s="37" t="inlineStr"/>
      <c r="F38" s="37" t="inlineStr"/>
      <c r="G38" s="42" t="inlineStr"/>
      <c r="H38" s="43" t="inlineStr"/>
    </row>
    <row r="39">
      <c r="B39" s="35" t="inlineStr"/>
      <c r="C39" s="37" t="inlineStr"/>
      <c r="D39" s="37" t="inlineStr"/>
      <c r="E39" s="37" t="inlineStr"/>
      <c r="F39" s="37" t="inlineStr"/>
      <c r="G39" s="42" t="inlineStr"/>
      <c r="H39" s="43" t="inlineStr"/>
    </row>
    <row r="40">
      <c r="B40" s="35" t="inlineStr"/>
      <c r="C40" s="37" t="inlineStr"/>
      <c r="D40" s="37" t="inlineStr"/>
      <c r="E40" s="37" t="inlineStr"/>
      <c r="F40" s="37" t="inlineStr"/>
      <c r="G40" s="42" t="inlineStr"/>
      <c r="H40" s="43" t="inlineStr"/>
    </row>
    <row r="41">
      <c r="B41" s="35" t="inlineStr"/>
      <c r="C41" s="37" t="inlineStr"/>
      <c r="D41" s="37" t="inlineStr"/>
      <c r="E41" s="37" t="inlineStr"/>
      <c r="F41" s="37" t="inlineStr"/>
      <c r="G41" s="42" t="inlineStr"/>
      <c r="H41" s="43" t="inlineStr"/>
    </row>
    <row r="42">
      <c r="B42" s="35" t="inlineStr"/>
      <c r="C42" s="37" t="inlineStr"/>
      <c r="D42" s="37" t="inlineStr"/>
      <c r="E42" s="37" t="inlineStr"/>
      <c r="F42" s="37" t="inlineStr"/>
      <c r="G42" s="42" t="inlineStr"/>
      <c r="H42" s="43" t="inlineStr"/>
    </row>
    <row r="43">
      <c r="B43" s="35" t="inlineStr"/>
      <c r="C43" s="37" t="inlineStr"/>
      <c r="D43" s="37" t="inlineStr"/>
      <c r="E43" s="37" t="inlineStr"/>
      <c r="F43" s="37" t="inlineStr"/>
      <c r="G43" s="42" t="inlineStr"/>
      <c r="H43" s="43" t="inlineStr"/>
    </row>
    <row r="44">
      <c r="B44" s="35" t="inlineStr"/>
      <c r="C44" s="37" t="inlineStr"/>
      <c r="D44" s="37" t="inlineStr"/>
      <c r="E44" s="37" t="inlineStr"/>
      <c r="F44" s="37" t="inlineStr"/>
      <c r="G44" s="42" t="inlineStr"/>
      <c r="H44" s="43" t="inlineStr"/>
    </row>
    <row r="45">
      <c r="B45" s="35" t="inlineStr"/>
      <c r="C45" s="37" t="inlineStr"/>
      <c r="D45" s="37" t="inlineStr"/>
      <c r="E45" s="37" t="inlineStr"/>
      <c r="F45" s="37" t="inlineStr"/>
      <c r="G45" s="42" t="inlineStr"/>
      <c r="H45" s="43" t="inlineStr"/>
    </row>
    <row r="46">
      <c r="B46" s="35" t="inlineStr"/>
      <c r="C46" s="37" t="inlineStr"/>
      <c r="D46" s="37" t="inlineStr"/>
      <c r="E46" s="37" t="inlineStr"/>
      <c r="F46" s="37" t="inlineStr"/>
      <c r="G46" s="42" t="inlineStr"/>
      <c r="H46" s="43" t="inlineStr"/>
    </row>
    <row r="47">
      <c r="B47" s="35" t="inlineStr"/>
      <c r="C47" s="37" t="inlineStr"/>
      <c r="D47" s="37" t="inlineStr"/>
      <c r="E47" s="37" t="inlineStr"/>
      <c r="F47" s="37" t="inlineStr"/>
      <c r="G47" s="42" t="inlineStr"/>
      <c r="H47" s="43" t="inlineStr"/>
    </row>
    <row r="48">
      <c r="B48" s="35" t="inlineStr"/>
      <c r="C48" s="37" t="inlineStr"/>
      <c r="D48" s="37" t="inlineStr"/>
      <c r="E48" s="37" t="inlineStr"/>
      <c r="F48" s="37" t="inlineStr"/>
      <c r="G48" s="42" t="inlineStr"/>
      <c r="H48" s="43" t="inlineStr"/>
    </row>
    <row r="49">
      <c r="B49" s="35" t="inlineStr"/>
      <c r="C49" s="37" t="inlineStr"/>
      <c r="D49" s="37" t="inlineStr"/>
      <c r="E49" s="37" t="inlineStr"/>
      <c r="F49" s="37" t="inlineStr"/>
      <c r="G49" s="42" t="inlineStr"/>
      <c r="H49" s="43" t="inlineStr"/>
    </row>
    <row r="50">
      <c r="B50" s="35" t="inlineStr"/>
      <c r="C50" s="37" t="inlineStr"/>
      <c r="D50" s="37" t="inlineStr"/>
      <c r="E50" s="37" t="inlineStr"/>
      <c r="F50" s="37" t="inlineStr"/>
      <c r="G50" s="42" t="inlineStr"/>
      <c r="H50" s="43" t="inlineStr"/>
    </row>
    <row r="51">
      <c r="B51" s="35" t="inlineStr"/>
      <c r="C51" s="37" t="inlineStr"/>
      <c r="D51" s="37" t="inlineStr"/>
      <c r="E51" s="37" t="inlineStr"/>
      <c r="F51" s="37" t="inlineStr"/>
      <c r="G51" s="42" t="inlineStr"/>
      <c r="H51" s="43" t="inlineStr"/>
    </row>
    <row r="52">
      <c r="B52" s="35" t="inlineStr"/>
      <c r="C52" s="37" t="inlineStr"/>
      <c r="D52" s="37" t="inlineStr"/>
      <c r="E52" s="37" t="inlineStr"/>
      <c r="F52" s="37" t="inlineStr"/>
      <c r="G52" s="42" t="inlineStr"/>
      <c r="H52" s="43" t="inlineStr"/>
    </row>
    <row r="53">
      <c r="B53" s="35" t="inlineStr"/>
      <c r="C53" s="37" t="inlineStr"/>
      <c r="D53" s="37" t="inlineStr"/>
      <c r="E53" s="37" t="inlineStr"/>
      <c r="F53" s="37" t="inlineStr"/>
      <c r="G53" s="42" t="inlineStr"/>
      <c r="H53" s="43" t="inlineStr"/>
    </row>
    <row r="54">
      <c r="B54" s="35" t="inlineStr"/>
      <c r="C54" s="37" t="inlineStr"/>
      <c r="D54" s="37" t="inlineStr"/>
      <c r="E54" s="37" t="inlineStr"/>
      <c r="F54" s="37" t="inlineStr"/>
      <c r="G54" s="42" t="inlineStr"/>
      <c r="H54" s="43" t="inlineStr"/>
    </row>
    <row r="55">
      <c r="B55" s="35" t="inlineStr"/>
      <c r="C55" s="37" t="inlineStr"/>
      <c r="D55" s="37" t="inlineStr"/>
      <c r="E55" s="37" t="inlineStr"/>
      <c r="F55" s="37" t="inlineStr"/>
      <c r="G55" s="42" t="inlineStr"/>
      <c r="H55" s="43" t="inlineStr"/>
    </row>
    <row r="56">
      <c r="B56" s="35" t="inlineStr"/>
      <c r="C56" s="37" t="inlineStr"/>
      <c r="D56" s="37" t="inlineStr"/>
      <c r="E56" s="37" t="inlineStr"/>
      <c r="F56" s="37" t="inlineStr"/>
      <c r="G56" s="42" t="inlineStr"/>
      <c r="H56" s="43" t="inlineStr"/>
    </row>
    <row r="57">
      <c r="B57" s="35" t="inlineStr"/>
      <c r="C57" s="37" t="inlineStr"/>
      <c r="D57" s="37" t="inlineStr"/>
      <c r="E57" s="37" t="inlineStr"/>
      <c r="F57" s="37" t="inlineStr"/>
      <c r="G57" s="42" t="inlineStr"/>
      <c r="H57" s="43" t="inlineStr"/>
    </row>
    <row r="58">
      <c r="B58" s="35" t="inlineStr"/>
      <c r="C58" s="37" t="inlineStr"/>
      <c r="D58" s="37" t="inlineStr"/>
      <c r="E58" s="37" t="inlineStr"/>
      <c r="F58" s="37" t="inlineStr"/>
      <c r="G58" s="42" t="inlineStr"/>
      <c r="H58" s="43" t="inlineStr"/>
    </row>
    <row r="59">
      <c r="B59" s="35" t="inlineStr"/>
      <c r="C59" s="37" t="inlineStr"/>
      <c r="D59" s="37" t="inlineStr"/>
      <c r="E59" s="37" t="inlineStr"/>
      <c r="F59" s="37" t="inlineStr"/>
      <c r="G59" s="42" t="inlineStr"/>
      <c r="H59" s="43" t="inlineStr"/>
    </row>
    <row r="60">
      <c r="B60" s="35" t="inlineStr"/>
      <c r="C60" s="37" t="inlineStr"/>
      <c r="D60" s="37" t="inlineStr"/>
      <c r="E60" s="37" t="inlineStr"/>
      <c r="F60" s="37" t="inlineStr"/>
      <c r="G60" s="42" t="inlineStr"/>
      <c r="H60" s="43" t="inlineStr"/>
    </row>
    <row r="61">
      <c r="B61" s="35" t="inlineStr"/>
      <c r="C61" s="37" t="inlineStr"/>
      <c r="D61" s="37" t="inlineStr"/>
      <c r="E61" s="37" t="inlineStr"/>
      <c r="F61" s="37" t="inlineStr"/>
      <c r="G61" s="42" t="inlineStr"/>
      <c r="H61" s="43" t="inlineStr"/>
    </row>
    <row r="62">
      <c r="B62" s="35" t="inlineStr"/>
      <c r="C62" s="37" t="inlineStr"/>
      <c r="D62" s="37" t="inlineStr"/>
      <c r="E62" s="37" t="inlineStr"/>
      <c r="F62" s="37" t="inlineStr"/>
      <c r="G62" s="42" t="inlineStr"/>
      <c r="H62" s="43" t="inlineStr"/>
    </row>
    <row r="63">
      <c r="B63" s="40" t="inlineStr">
        <is>
          <t>合计</t>
        </is>
      </c>
      <c r="C63" s="23">
        <f>SUM(C3:C62)</f>
        <v/>
      </c>
      <c r="D63" s="23">
        <f>SUM(D3:D62)</f>
        <v/>
      </c>
      <c r="E63" s="23">
        <f>SUM(E3:E62)</f>
        <v/>
      </c>
      <c r="F63" s="23">
        <f>SUM(F3:F62)</f>
        <v/>
      </c>
      <c r="G63" s="44">
        <f>IFERROR(F63/C63,0)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1" t="inlineStr">
        <is>
          <t>达人渠道分析（THB）</t>
        </is>
      </c>
    </row>
    <row r="2">
      <c r="A2" s="15" t="inlineStr">
        <is>
          <t>商品ID</t>
        </is>
      </c>
      <c r="B2" s="15" t="inlineStr">
        <is>
          <t>商品名称</t>
        </is>
      </c>
      <c r="C2" s="15" t="inlineStr">
        <is>
          <t>GMV</t>
        </is>
      </c>
      <c r="D2" s="15" t="inlineStr">
        <is>
          <t>成交件数</t>
        </is>
      </c>
      <c r="E2" s="15" t="inlineStr">
        <is>
          <t>预计佣金</t>
        </is>
      </c>
      <c r="F2" s="15" t="inlineStr">
        <is>
          <t>销售达人</t>
        </is>
      </c>
      <c r="G2" s="15" t="inlineStr">
        <is>
          <t>佣金率</t>
        </is>
      </c>
      <c r="H2" s="15" t="inlineStr">
        <is>
          <t>已退款GMV</t>
        </is>
      </c>
    </row>
    <row r="3">
      <c r="B3" s="35" t="inlineStr"/>
      <c r="C3" s="35" t="inlineStr"/>
      <c r="D3" s="37" t="inlineStr"/>
      <c r="E3" s="37" t="inlineStr"/>
      <c r="F3" s="37" t="inlineStr"/>
      <c r="G3" s="43" t="inlineStr"/>
      <c r="H3" s="45" t="inlineStr"/>
    </row>
    <row r="4">
      <c r="B4" s="35" t="inlineStr"/>
      <c r="C4" s="35" t="inlineStr"/>
      <c r="D4" s="37" t="inlineStr"/>
      <c r="E4" s="37" t="inlineStr"/>
      <c r="F4" s="37" t="inlineStr"/>
      <c r="G4" s="43" t="inlineStr"/>
      <c r="H4" s="45" t="inlineStr"/>
    </row>
    <row r="5">
      <c r="B5" s="35" t="inlineStr"/>
      <c r="C5" s="35" t="inlineStr"/>
      <c r="D5" s="37" t="inlineStr"/>
      <c r="E5" s="37" t="inlineStr"/>
      <c r="F5" s="37" t="inlineStr"/>
      <c r="G5" s="43" t="inlineStr"/>
      <c r="H5" s="45" t="inlineStr"/>
    </row>
    <row r="6">
      <c r="B6" s="35" t="inlineStr"/>
      <c r="C6" s="35" t="inlineStr"/>
      <c r="D6" s="37" t="inlineStr"/>
      <c r="E6" s="37" t="inlineStr"/>
      <c r="F6" s="37" t="inlineStr"/>
      <c r="G6" s="43" t="inlineStr"/>
      <c r="H6" s="45" t="inlineStr"/>
    </row>
    <row r="7">
      <c r="B7" s="35" t="inlineStr"/>
      <c r="C7" s="35" t="inlineStr"/>
      <c r="D7" s="37" t="inlineStr"/>
      <c r="E7" s="37" t="inlineStr"/>
      <c r="F7" s="37" t="inlineStr"/>
      <c r="G7" s="43" t="inlineStr"/>
      <c r="H7" s="45" t="inlineStr"/>
    </row>
    <row r="8">
      <c r="B8" s="35" t="inlineStr"/>
      <c r="C8" s="35" t="inlineStr"/>
      <c r="D8" s="37" t="inlineStr"/>
      <c r="E8" s="37" t="inlineStr"/>
      <c r="F8" s="37" t="inlineStr"/>
      <c r="G8" s="43" t="inlineStr"/>
      <c r="H8" s="45" t="inlineStr"/>
    </row>
    <row r="9">
      <c r="B9" s="35" t="inlineStr"/>
      <c r="C9" s="35" t="inlineStr"/>
      <c r="D9" s="37" t="inlineStr"/>
      <c r="E9" s="37" t="inlineStr"/>
      <c r="F9" s="37" t="inlineStr"/>
      <c r="G9" s="43" t="inlineStr"/>
      <c r="H9" s="45" t="inlineStr"/>
    </row>
    <row r="10">
      <c r="B10" s="35" t="inlineStr"/>
      <c r="C10" s="35" t="inlineStr"/>
      <c r="D10" s="37" t="inlineStr"/>
      <c r="E10" s="37" t="inlineStr"/>
      <c r="F10" s="37" t="inlineStr"/>
      <c r="G10" s="43" t="inlineStr"/>
      <c r="H10" s="45" t="inlineStr"/>
    </row>
    <row r="11">
      <c r="B11" s="35" t="inlineStr"/>
      <c r="C11" s="35" t="inlineStr"/>
      <c r="D11" s="37" t="inlineStr"/>
      <c r="E11" s="37" t="inlineStr"/>
      <c r="F11" s="37" t="inlineStr"/>
      <c r="G11" s="43" t="inlineStr"/>
      <c r="H11" s="45" t="inlineStr"/>
    </row>
    <row r="12">
      <c r="B12" s="35" t="inlineStr"/>
      <c r="C12" s="35" t="inlineStr"/>
      <c r="D12" s="37" t="inlineStr"/>
      <c r="E12" s="37" t="inlineStr"/>
      <c r="F12" s="37" t="inlineStr"/>
      <c r="G12" s="43" t="inlineStr"/>
      <c r="H12" s="45" t="inlineStr"/>
    </row>
    <row r="13">
      <c r="B13" s="35" t="inlineStr"/>
      <c r="C13" s="35" t="inlineStr"/>
      <c r="D13" s="37" t="inlineStr"/>
      <c r="E13" s="37" t="inlineStr"/>
      <c r="F13" s="37" t="inlineStr"/>
      <c r="G13" s="43" t="inlineStr"/>
      <c r="H13" s="45" t="inlineStr"/>
    </row>
    <row r="14">
      <c r="B14" s="35" t="inlineStr"/>
      <c r="C14" s="35" t="inlineStr"/>
      <c r="D14" s="37" t="inlineStr"/>
      <c r="E14" s="37" t="inlineStr"/>
      <c r="F14" s="37" t="inlineStr"/>
      <c r="G14" s="43" t="inlineStr"/>
      <c r="H14" s="45" t="inlineStr"/>
    </row>
    <row r="15">
      <c r="B15" s="35" t="inlineStr"/>
      <c r="C15" s="35" t="inlineStr"/>
      <c r="D15" s="37" t="inlineStr"/>
      <c r="E15" s="37" t="inlineStr"/>
      <c r="F15" s="37" t="inlineStr"/>
      <c r="G15" s="43" t="inlineStr"/>
      <c r="H15" s="45" t="inlineStr"/>
    </row>
    <row r="16">
      <c r="B16" s="35" t="inlineStr"/>
      <c r="C16" s="35" t="inlineStr"/>
      <c r="D16" s="37" t="inlineStr"/>
      <c r="E16" s="37" t="inlineStr"/>
      <c r="F16" s="37" t="inlineStr"/>
      <c r="G16" s="43" t="inlineStr"/>
      <c r="H16" s="45" t="inlineStr"/>
    </row>
    <row r="17">
      <c r="B17" s="35" t="inlineStr"/>
      <c r="C17" s="35" t="inlineStr"/>
      <c r="D17" s="37" t="inlineStr"/>
      <c r="E17" s="37" t="inlineStr"/>
      <c r="F17" s="37" t="inlineStr"/>
      <c r="G17" s="43" t="inlineStr"/>
      <c r="H17" s="45" t="inlineStr"/>
    </row>
    <row r="18">
      <c r="B18" s="35" t="inlineStr"/>
      <c r="C18" s="35" t="inlineStr"/>
      <c r="D18" s="37" t="inlineStr"/>
      <c r="E18" s="37" t="inlineStr"/>
      <c r="F18" s="37" t="inlineStr"/>
      <c r="G18" s="43" t="inlineStr"/>
      <c r="H18" s="45" t="inlineStr"/>
    </row>
    <row r="19">
      <c r="B19" s="35" t="inlineStr"/>
      <c r="C19" s="35" t="inlineStr"/>
      <c r="D19" s="37" t="inlineStr"/>
      <c r="E19" s="37" t="inlineStr"/>
      <c r="F19" s="37" t="inlineStr"/>
      <c r="G19" s="43" t="inlineStr"/>
      <c r="H19" s="45" t="inlineStr"/>
    </row>
    <row r="20">
      <c r="B20" s="35" t="inlineStr"/>
      <c r="C20" s="35" t="inlineStr"/>
      <c r="D20" s="37" t="inlineStr"/>
      <c r="E20" s="37" t="inlineStr"/>
      <c r="F20" s="37" t="inlineStr"/>
      <c r="G20" s="43" t="inlineStr"/>
      <c r="H20" s="45" t="inlineStr"/>
    </row>
    <row r="21">
      <c r="B21" s="35" t="inlineStr"/>
      <c r="C21" s="35" t="inlineStr"/>
      <c r="D21" s="37" t="inlineStr"/>
      <c r="E21" s="37" t="inlineStr"/>
      <c r="F21" s="37" t="inlineStr"/>
      <c r="G21" s="43" t="inlineStr"/>
      <c r="H21" s="45" t="inlineStr"/>
    </row>
    <row r="22">
      <c r="B22" s="35" t="inlineStr"/>
      <c r="C22" s="35" t="inlineStr"/>
      <c r="D22" s="37" t="inlineStr"/>
      <c r="E22" s="37" t="inlineStr"/>
      <c r="F22" s="37" t="inlineStr"/>
      <c r="G22" s="43" t="inlineStr"/>
      <c r="H22" s="45" t="inlineStr"/>
    </row>
    <row r="23">
      <c r="B23" s="35" t="inlineStr"/>
      <c r="C23" s="35" t="inlineStr"/>
      <c r="D23" s="37" t="inlineStr"/>
      <c r="E23" s="37" t="inlineStr"/>
      <c r="F23" s="37" t="inlineStr"/>
      <c r="G23" s="43" t="inlineStr"/>
      <c r="H23" s="45" t="inlineStr"/>
    </row>
    <row r="24">
      <c r="B24" s="35" t="inlineStr"/>
      <c r="C24" s="35" t="inlineStr"/>
      <c r="D24" s="37" t="inlineStr"/>
      <c r="E24" s="37" t="inlineStr"/>
      <c r="F24" s="37" t="inlineStr"/>
      <c r="G24" s="43" t="inlineStr"/>
      <c r="H24" s="45" t="inlineStr"/>
    </row>
    <row r="25">
      <c r="B25" s="35" t="inlineStr"/>
      <c r="C25" s="35" t="inlineStr"/>
      <c r="D25" s="37" t="inlineStr"/>
      <c r="E25" s="37" t="inlineStr"/>
      <c r="F25" s="37" t="inlineStr"/>
      <c r="G25" s="43" t="inlineStr"/>
      <c r="H25" s="45" t="inlineStr"/>
    </row>
    <row r="26">
      <c r="B26" s="35" t="inlineStr"/>
      <c r="C26" s="35" t="inlineStr"/>
      <c r="D26" s="37" t="inlineStr"/>
      <c r="E26" s="37" t="inlineStr"/>
      <c r="F26" s="37" t="inlineStr"/>
      <c r="G26" s="43" t="inlineStr"/>
      <c r="H26" s="45" t="inlineStr"/>
    </row>
    <row r="27">
      <c r="B27" s="35" t="inlineStr"/>
      <c r="C27" s="35" t="inlineStr"/>
      <c r="D27" s="37" t="inlineStr"/>
      <c r="E27" s="37" t="inlineStr"/>
      <c r="F27" s="37" t="inlineStr"/>
      <c r="G27" s="43" t="inlineStr"/>
      <c r="H27" s="45" t="inlineStr"/>
    </row>
    <row r="28">
      <c r="B28" s="35" t="inlineStr"/>
      <c r="C28" s="35" t="inlineStr"/>
      <c r="D28" s="37" t="inlineStr"/>
      <c r="E28" s="37" t="inlineStr"/>
      <c r="F28" s="37" t="inlineStr"/>
      <c r="G28" s="43" t="inlineStr"/>
      <c r="H28" s="45" t="inlineStr"/>
    </row>
    <row r="29">
      <c r="B29" s="35" t="inlineStr"/>
      <c r="C29" s="35" t="inlineStr"/>
      <c r="D29" s="37" t="inlineStr"/>
      <c r="E29" s="37" t="inlineStr"/>
      <c r="F29" s="37" t="inlineStr"/>
      <c r="G29" s="43" t="inlineStr"/>
      <c r="H29" s="45" t="inlineStr"/>
    </row>
    <row r="30">
      <c r="B30" s="35" t="inlineStr"/>
      <c r="C30" s="35" t="inlineStr"/>
      <c r="D30" s="37" t="inlineStr"/>
      <c r="E30" s="37" t="inlineStr"/>
      <c r="F30" s="37" t="inlineStr"/>
      <c r="G30" s="43" t="inlineStr"/>
      <c r="H30" s="45" t="inlineStr"/>
    </row>
    <row r="31">
      <c r="B31" s="35" t="inlineStr"/>
      <c r="C31" s="35" t="inlineStr"/>
      <c r="D31" s="37" t="inlineStr"/>
      <c r="E31" s="37" t="inlineStr"/>
      <c r="F31" s="37" t="inlineStr"/>
      <c r="G31" s="43" t="inlineStr"/>
      <c r="H31" s="45" t="inlineStr"/>
    </row>
    <row r="32">
      <c r="B32" s="35" t="inlineStr"/>
      <c r="C32" s="35" t="inlineStr"/>
      <c r="D32" s="37" t="inlineStr"/>
      <c r="E32" s="37" t="inlineStr"/>
      <c r="F32" s="37" t="inlineStr"/>
      <c r="G32" s="43" t="inlineStr"/>
      <c r="H32" s="45" t="inlineStr"/>
    </row>
    <row r="33">
      <c r="B33" s="35" t="inlineStr"/>
      <c r="C33" s="35" t="inlineStr"/>
      <c r="D33" s="37" t="inlineStr"/>
      <c r="E33" s="37" t="inlineStr"/>
      <c r="F33" s="37" t="inlineStr"/>
      <c r="G33" s="43" t="inlineStr"/>
      <c r="H33" s="45" t="inlineStr"/>
    </row>
    <row r="34">
      <c r="B34" s="35" t="inlineStr"/>
      <c r="C34" s="35" t="inlineStr"/>
      <c r="D34" s="37" t="inlineStr"/>
      <c r="E34" s="37" t="inlineStr"/>
      <c r="F34" s="37" t="inlineStr"/>
      <c r="G34" s="43" t="inlineStr"/>
      <c r="H34" s="45" t="inlineStr"/>
    </row>
    <row r="35">
      <c r="B35" s="35" t="inlineStr"/>
      <c r="C35" s="35" t="inlineStr"/>
      <c r="D35" s="37" t="inlineStr"/>
      <c r="E35" s="37" t="inlineStr"/>
      <c r="F35" s="37" t="inlineStr"/>
      <c r="G35" s="43" t="inlineStr"/>
      <c r="H35" s="45" t="inlineStr"/>
    </row>
    <row r="36">
      <c r="B36" s="35" t="inlineStr"/>
      <c r="C36" s="35" t="inlineStr"/>
      <c r="D36" s="37" t="inlineStr"/>
      <c r="E36" s="37" t="inlineStr"/>
      <c r="F36" s="37" t="inlineStr"/>
      <c r="G36" s="43" t="inlineStr"/>
      <c r="H36" s="45" t="inlineStr"/>
    </row>
    <row r="37">
      <c r="B37" s="35" t="inlineStr"/>
      <c r="C37" s="35" t="inlineStr"/>
      <c r="D37" s="37" t="inlineStr"/>
      <c r="E37" s="37" t="inlineStr"/>
      <c r="F37" s="37" t="inlineStr"/>
      <c r="G37" s="43" t="inlineStr"/>
      <c r="H37" s="45" t="inlineStr"/>
    </row>
    <row r="38">
      <c r="B38" s="35" t="inlineStr"/>
      <c r="C38" s="35" t="inlineStr"/>
      <c r="D38" s="37" t="inlineStr"/>
      <c r="E38" s="37" t="inlineStr"/>
      <c r="F38" s="37" t="inlineStr"/>
      <c r="G38" s="43" t="inlineStr"/>
      <c r="H38" s="45" t="inlineStr"/>
    </row>
    <row r="39">
      <c r="B39" s="35" t="inlineStr"/>
      <c r="C39" s="35" t="inlineStr"/>
      <c r="D39" s="37" t="inlineStr"/>
      <c r="E39" s="37" t="inlineStr"/>
      <c r="F39" s="37" t="inlineStr"/>
      <c r="G39" s="43" t="inlineStr"/>
      <c r="H39" s="45" t="inlineStr"/>
    </row>
    <row r="40">
      <c r="B40" s="35" t="inlineStr"/>
      <c r="C40" s="35" t="inlineStr"/>
      <c r="D40" s="37" t="inlineStr"/>
      <c r="E40" s="37" t="inlineStr"/>
      <c r="F40" s="37" t="inlineStr"/>
      <c r="G40" s="43" t="inlineStr"/>
      <c r="H40" s="45" t="inlineStr"/>
    </row>
    <row r="41">
      <c r="B41" s="35" t="inlineStr"/>
      <c r="C41" s="35" t="inlineStr"/>
      <c r="D41" s="37" t="inlineStr"/>
      <c r="E41" s="37" t="inlineStr"/>
      <c r="F41" s="37" t="inlineStr"/>
      <c r="G41" s="43" t="inlineStr"/>
      <c r="H41" s="45" t="inlineStr"/>
    </row>
    <row r="42">
      <c r="B42" s="35" t="inlineStr"/>
      <c r="C42" s="35" t="inlineStr"/>
      <c r="D42" s="37" t="inlineStr"/>
      <c r="E42" s="37" t="inlineStr"/>
      <c r="F42" s="37" t="inlineStr"/>
      <c r="G42" s="43" t="inlineStr"/>
      <c r="H42" s="45" t="inlineStr"/>
    </row>
    <row r="43">
      <c r="B43" s="35" t="inlineStr"/>
      <c r="C43" s="35" t="inlineStr"/>
      <c r="D43" s="37" t="inlineStr"/>
      <c r="E43" s="37" t="inlineStr"/>
      <c r="F43" s="37" t="inlineStr"/>
      <c r="G43" s="43" t="inlineStr"/>
      <c r="H43" s="45" t="inlineStr"/>
    </row>
    <row r="44">
      <c r="B44" s="35" t="inlineStr"/>
      <c r="C44" s="35" t="inlineStr"/>
      <c r="D44" s="37" t="inlineStr"/>
      <c r="E44" s="37" t="inlineStr"/>
      <c r="F44" s="37" t="inlineStr"/>
      <c r="G44" s="43" t="inlineStr"/>
      <c r="H44" s="45" t="inlineStr"/>
    </row>
    <row r="45">
      <c r="B45" s="35" t="inlineStr"/>
      <c r="C45" s="35" t="inlineStr"/>
      <c r="D45" s="37" t="inlineStr"/>
      <c r="E45" s="37" t="inlineStr"/>
      <c r="F45" s="37" t="inlineStr"/>
      <c r="G45" s="43" t="inlineStr"/>
      <c r="H45" s="45" t="inlineStr"/>
    </row>
    <row r="46">
      <c r="B46" s="35" t="inlineStr"/>
      <c r="C46" s="35" t="inlineStr"/>
      <c r="D46" s="37" t="inlineStr"/>
      <c r="E46" s="37" t="inlineStr"/>
      <c r="F46" s="37" t="inlineStr"/>
      <c r="G46" s="43" t="inlineStr"/>
      <c r="H46" s="45" t="inlineStr"/>
    </row>
    <row r="47">
      <c r="B47" s="35" t="inlineStr"/>
      <c r="C47" s="35" t="inlineStr"/>
      <c r="D47" s="37" t="inlineStr"/>
      <c r="E47" s="37" t="inlineStr"/>
      <c r="F47" s="37" t="inlineStr"/>
      <c r="G47" s="43" t="inlineStr"/>
      <c r="H47" s="45" t="inlineStr"/>
    </row>
    <row r="48">
      <c r="B48" s="35" t="inlineStr"/>
      <c r="C48" s="35" t="inlineStr"/>
      <c r="D48" s="37" t="inlineStr"/>
      <c r="E48" s="37" t="inlineStr"/>
      <c r="F48" s="37" t="inlineStr"/>
      <c r="G48" s="43" t="inlineStr"/>
      <c r="H48" s="45" t="inlineStr"/>
    </row>
    <row r="49">
      <c r="B49" s="35" t="inlineStr"/>
      <c r="C49" s="35" t="inlineStr"/>
      <c r="D49" s="37" t="inlineStr"/>
      <c r="E49" s="37" t="inlineStr"/>
      <c r="F49" s="37" t="inlineStr"/>
      <c r="G49" s="43" t="inlineStr"/>
      <c r="H49" s="45" t="inlineStr"/>
    </row>
    <row r="50">
      <c r="B50" s="35" t="inlineStr"/>
      <c r="C50" s="35" t="inlineStr"/>
      <c r="D50" s="37" t="inlineStr"/>
      <c r="E50" s="37" t="inlineStr"/>
      <c r="F50" s="37" t="inlineStr"/>
      <c r="G50" s="43" t="inlineStr"/>
      <c r="H50" s="45" t="inlineStr"/>
    </row>
    <row r="51">
      <c r="B51" s="35" t="inlineStr"/>
      <c r="C51" s="35" t="inlineStr"/>
      <c r="D51" s="37" t="inlineStr"/>
      <c r="E51" s="37" t="inlineStr"/>
      <c r="F51" s="37" t="inlineStr"/>
      <c r="G51" s="43" t="inlineStr"/>
      <c r="H51" s="45" t="inlineStr"/>
    </row>
    <row r="52">
      <c r="B52" s="35" t="inlineStr"/>
      <c r="C52" s="35" t="inlineStr"/>
      <c r="D52" s="37" t="inlineStr"/>
      <c r="E52" s="37" t="inlineStr"/>
      <c r="F52" s="37" t="inlineStr"/>
      <c r="G52" s="43" t="inlineStr"/>
      <c r="H52" s="45" t="inlineStr"/>
    </row>
    <row r="53">
      <c r="B53" s="35" t="inlineStr"/>
      <c r="C53" s="35" t="inlineStr"/>
      <c r="D53" s="37" t="inlineStr"/>
      <c r="E53" s="37" t="inlineStr"/>
      <c r="F53" s="37" t="inlineStr"/>
      <c r="G53" s="43" t="inlineStr"/>
      <c r="H53" s="45" t="inlineStr"/>
    </row>
    <row r="54">
      <c r="B54" s="35" t="inlineStr"/>
      <c r="C54" s="35" t="inlineStr"/>
      <c r="D54" s="37" t="inlineStr"/>
      <c r="E54" s="37" t="inlineStr"/>
      <c r="F54" s="37" t="inlineStr"/>
      <c r="G54" s="43" t="inlineStr"/>
      <c r="H54" s="45" t="inlineStr"/>
    </row>
    <row r="55">
      <c r="B55" s="35" t="inlineStr"/>
      <c r="C55" s="35" t="inlineStr"/>
      <c r="D55" s="37" t="inlineStr"/>
      <c r="E55" s="37" t="inlineStr"/>
      <c r="F55" s="37" t="inlineStr"/>
      <c r="G55" s="43" t="inlineStr"/>
      <c r="H55" s="45" t="inlineStr"/>
    </row>
    <row r="56">
      <c r="B56" s="35" t="inlineStr"/>
      <c r="C56" s="35" t="inlineStr"/>
      <c r="D56" s="37" t="inlineStr"/>
      <c r="E56" s="37" t="inlineStr"/>
      <c r="F56" s="37" t="inlineStr"/>
      <c r="G56" s="43" t="inlineStr"/>
      <c r="H56" s="45" t="inlineStr"/>
    </row>
    <row r="57">
      <c r="B57" s="35" t="inlineStr"/>
      <c r="C57" s="35" t="inlineStr"/>
      <c r="D57" s="37" t="inlineStr"/>
      <c r="E57" s="37" t="inlineStr"/>
      <c r="F57" s="37" t="inlineStr"/>
      <c r="G57" s="43" t="inlineStr"/>
      <c r="H57" s="45" t="inlineStr"/>
    </row>
    <row r="58">
      <c r="B58" s="35" t="inlineStr"/>
      <c r="C58" s="35" t="inlineStr"/>
      <c r="D58" s="37" t="inlineStr"/>
      <c r="E58" s="37" t="inlineStr"/>
      <c r="F58" s="37" t="inlineStr"/>
      <c r="G58" s="43" t="inlineStr"/>
      <c r="H58" s="45" t="inlineStr"/>
    </row>
    <row r="59">
      <c r="B59" s="35" t="inlineStr"/>
      <c r="C59" s="35" t="inlineStr"/>
      <c r="D59" s="37" t="inlineStr"/>
      <c r="E59" s="37" t="inlineStr"/>
      <c r="F59" s="37" t="inlineStr"/>
      <c r="G59" s="43" t="inlineStr"/>
      <c r="H59" s="45" t="inlineStr"/>
    </row>
    <row r="60">
      <c r="B60" s="35" t="inlineStr"/>
      <c r="C60" s="35" t="inlineStr"/>
      <c r="D60" s="37" t="inlineStr"/>
      <c r="E60" s="37" t="inlineStr"/>
      <c r="F60" s="37" t="inlineStr"/>
      <c r="G60" s="43" t="inlineStr"/>
      <c r="H60" s="45" t="inlineStr"/>
    </row>
    <row r="61">
      <c r="B61" s="35" t="inlineStr"/>
      <c r="C61" s="35" t="inlineStr"/>
      <c r="D61" s="37" t="inlineStr"/>
      <c r="E61" s="37" t="inlineStr"/>
      <c r="F61" s="37" t="inlineStr"/>
      <c r="G61" s="43" t="inlineStr"/>
      <c r="H61" s="45" t="inlineStr"/>
    </row>
    <row r="62">
      <c r="B62" s="35" t="inlineStr"/>
      <c r="C62" s="35" t="inlineStr"/>
      <c r="D62" s="37" t="inlineStr"/>
      <c r="E62" s="37" t="inlineStr"/>
      <c r="F62" s="37" t="inlineStr"/>
      <c r="G62" s="43" t="inlineStr"/>
      <c r="H62" s="45" t="inlineStr"/>
    </row>
    <row r="63">
      <c r="B63" s="35" t="inlineStr"/>
      <c r="C63" s="35" t="inlineStr"/>
      <c r="D63" s="37" t="inlineStr"/>
      <c r="E63" s="37" t="inlineStr"/>
      <c r="F63" s="37" t="inlineStr"/>
      <c r="G63" s="43" t="inlineStr"/>
      <c r="H63" s="45" t="inlineStr"/>
    </row>
    <row r="64">
      <c r="B64" s="35" t="inlineStr"/>
      <c r="C64" s="35" t="inlineStr"/>
      <c r="D64" s="37" t="inlineStr"/>
      <c r="E64" s="37" t="inlineStr"/>
      <c r="F64" s="37" t="inlineStr"/>
      <c r="G64" s="43" t="inlineStr"/>
      <c r="H64" s="45" t="inlineStr"/>
    </row>
    <row r="65">
      <c r="B65" s="35" t="inlineStr"/>
      <c r="C65" s="35" t="inlineStr"/>
      <c r="D65" s="37" t="inlineStr"/>
      <c r="E65" s="37" t="inlineStr"/>
      <c r="F65" s="37" t="inlineStr"/>
      <c r="G65" s="43" t="inlineStr"/>
      <c r="H65" s="45" t="inlineStr"/>
    </row>
    <row r="66">
      <c r="B66" s="35" t="inlineStr"/>
      <c r="C66" s="35" t="inlineStr"/>
      <c r="D66" s="37" t="inlineStr"/>
      <c r="E66" s="37" t="inlineStr"/>
      <c r="F66" s="37" t="inlineStr"/>
      <c r="G66" s="43" t="inlineStr"/>
      <c r="H66" s="45" t="inlineStr"/>
    </row>
    <row r="67">
      <c r="B67" s="35" t="inlineStr"/>
      <c r="C67" s="35" t="inlineStr"/>
      <c r="D67" s="37" t="inlineStr"/>
      <c r="E67" s="37" t="inlineStr"/>
      <c r="F67" s="37" t="inlineStr"/>
      <c r="G67" s="43" t="inlineStr"/>
      <c r="H67" s="45" t="inlineStr"/>
    </row>
    <row r="68">
      <c r="B68" s="35" t="inlineStr"/>
      <c r="C68" s="35" t="inlineStr"/>
      <c r="D68" s="37" t="inlineStr"/>
      <c r="E68" s="37" t="inlineStr"/>
      <c r="F68" s="37" t="inlineStr"/>
      <c r="G68" s="43" t="inlineStr"/>
      <c r="H68" s="45" t="inlineStr"/>
    </row>
    <row r="69">
      <c r="B69" s="35" t="inlineStr"/>
      <c r="C69" s="35" t="inlineStr"/>
      <c r="D69" s="37" t="inlineStr"/>
      <c r="E69" s="37" t="inlineStr"/>
      <c r="F69" s="37" t="inlineStr"/>
      <c r="G69" s="43" t="inlineStr"/>
      <c r="H69" s="45" t="inlineStr"/>
    </row>
    <row r="70">
      <c r="B70" s="35" t="inlineStr"/>
      <c r="C70" s="35" t="inlineStr"/>
      <c r="D70" s="37" t="inlineStr"/>
      <c r="E70" s="37" t="inlineStr"/>
      <c r="F70" s="37" t="inlineStr"/>
      <c r="G70" s="43" t="inlineStr"/>
      <c r="H70" s="45" t="inlineStr"/>
    </row>
    <row r="71">
      <c r="B71" s="35" t="inlineStr"/>
      <c r="C71" s="35" t="inlineStr"/>
      <c r="D71" s="37" t="inlineStr"/>
      <c r="E71" s="37" t="inlineStr"/>
      <c r="F71" s="37" t="inlineStr"/>
      <c r="G71" s="43" t="inlineStr"/>
      <c r="H71" s="45" t="inlineStr"/>
    </row>
    <row r="72">
      <c r="B72" s="35" t="inlineStr"/>
      <c r="C72" s="35" t="inlineStr"/>
      <c r="D72" s="37" t="inlineStr"/>
      <c r="E72" s="37" t="inlineStr"/>
      <c r="F72" s="37" t="inlineStr"/>
      <c r="G72" s="43" t="inlineStr"/>
      <c r="H72" s="45" t="inlineStr"/>
    </row>
    <row r="73">
      <c r="B73" s="35" t="inlineStr"/>
      <c r="C73" s="35" t="inlineStr"/>
      <c r="D73" s="37" t="inlineStr"/>
      <c r="E73" s="37" t="inlineStr"/>
      <c r="F73" s="37" t="inlineStr"/>
      <c r="G73" s="43" t="inlineStr"/>
      <c r="H73" s="45" t="inlineStr"/>
    </row>
    <row r="74">
      <c r="B74" s="35" t="inlineStr"/>
      <c r="C74" s="35" t="inlineStr"/>
      <c r="D74" s="37" t="inlineStr"/>
      <c r="E74" s="37" t="inlineStr"/>
      <c r="F74" s="37" t="inlineStr"/>
      <c r="G74" s="43" t="inlineStr"/>
      <c r="H74" s="45" t="inlineStr"/>
    </row>
    <row r="75">
      <c r="B75" s="35" t="inlineStr"/>
      <c r="C75" s="35" t="inlineStr"/>
      <c r="D75" s="37" t="inlineStr"/>
      <c r="E75" s="37" t="inlineStr"/>
      <c r="F75" s="37" t="inlineStr"/>
      <c r="G75" s="43" t="inlineStr"/>
      <c r="H75" s="45" t="inlineStr"/>
    </row>
    <row r="76">
      <c r="B76" s="35" t="inlineStr"/>
      <c r="C76" s="35" t="inlineStr"/>
      <c r="D76" s="37" t="inlineStr"/>
      <c r="E76" s="37" t="inlineStr"/>
      <c r="F76" s="37" t="inlineStr"/>
      <c r="G76" s="43" t="inlineStr"/>
      <c r="H76" s="45" t="inlineStr"/>
    </row>
    <row r="77">
      <c r="B77" s="35" t="inlineStr"/>
      <c r="C77" s="35" t="inlineStr"/>
      <c r="D77" s="37" t="inlineStr"/>
      <c r="E77" s="37" t="inlineStr"/>
      <c r="F77" s="37" t="inlineStr"/>
      <c r="G77" s="43" t="inlineStr"/>
      <c r="H77" s="45" t="inlineStr"/>
    </row>
    <row r="78">
      <c r="B78" s="35" t="inlineStr"/>
      <c r="C78" s="35" t="inlineStr"/>
      <c r="D78" s="37" t="inlineStr"/>
      <c r="E78" s="37" t="inlineStr"/>
      <c r="F78" s="37" t="inlineStr"/>
      <c r="G78" s="43" t="inlineStr"/>
      <c r="H78" s="45" t="inlineStr"/>
    </row>
    <row r="79">
      <c r="B79" s="35" t="inlineStr"/>
      <c r="C79" s="35" t="inlineStr"/>
      <c r="D79" s="37" t="inlineStr"/>
      <c r="E79" s="37" t="inlineStr"/>
      <c r="F79" s="37" t="inlineStr"/>
      <c r="G79" s="43" t="inlineStr"/>
      <c r="H79" s="45" t="inlineStr"/>
    </row>
    <row r="80">
      <c r="B80" s="35" t="inlineStr"/>
      <c r="C80" s="35" t="inlineStr"/>
      <c r="D80" s="37" t="inlineStr"/>
      <c r="E80" s="37" t="inlineStr"/>
      <c r="F80" s="37" t="inlineStr"/>
      <c r="G80" s="43" t="inlineStr"/>
      <c r="H80" s="45" t="inlineStr"/>
    </row>
    <row r="81">
      <c r="B81" s="35" t="inlineStr"/>
      <c r="C81" s="35" t="inlineStr"/>
      <c r="D81" s="37" t="inlineStr"/>
      <c r="E81" s="37" t="inlineStr"/>
      <c r="F81" s="37" t="inlineStr"/>
      <c r="G81" s="43" t="inlineStr"/>
      <c r="H81" s="45" t="inlineStr"/>
    </row>
    <row r="82">
      <c r="B82" s="35" t="inlineStr"/>
      <c r="C82" s="35" t="inlineStr"/>
      <c r="D82" s="37" t="inlineStr"/>
      <c r="E82" s="37" t="inlineStr"/>
      <c r="F82" s="37" t="inlineStr"/>
      <c r="G82" s="43" t="inlineStr"/>
      <c r="H82" s="45" t="inlineStr"/>
    </row>
    <row r="83">
      <c r="B83" s="35" t="inlineStr"/>
      <c r="C83" s="35" t="inlineStr"/>
      <c r="D83" s="37" t="inlineStr"/>
      <c r="E83" s="37" t="inlineStr"/>
      <c r="F83" s="37" t="inlineStr"/>
      <c r="G83" s="43" t="inlineStr"/>
      <c r="H83" s="45" t="inlineStr"/>
    </row>
    <row r="84">
      <c r="B84" s="35" t="inlineStr"/>
      <c r="C84" s="35" t="inlineStr"/>
      <c r="D84" s="37" t="inlineStr"/>
      <c r="E84" s="37" t="inlineStr"/>
      <c r="F84" s="37" t="inlineStr"/>
      <c r="G84" s="43" t="inlineStr"/>
      <c r="H84" s="45" t="inlineStr"/>
    </row>
    <row r="85">
      <c r="B85" s="35" t="inlineStr"/>
      <c r="C85" s="35" t="inlineStr"/>
      <c r="D85" s="37" t="inlineStr"/>
      <c r="E85" s="37" t="inlineStr"/>
      <c r="F85" s="37" t="inlineStr"/>
      <c r="G85" s="43" t="inlineStr"/>
      <c r="H85" s="45" t="inlineStr"/>
    </row>
    <row r="86">
      <c r="B86" s="35" t="inlineStr"/>
      <c r="C86" s="35" t="inlineStr"/>
      <c r="D86" s="37" t="inlineStr"/>
      <c r="E86" s="37" t="inlineStr"/>
      <c r="F86" s="37" t="inlineStr"/>
      <c r="G86" s="43" t="inlineStr"/>
      <c r="H86" s="45" t="inlineStr"/>
    </row>
    <row r="87">
      <c r="B87" s="35" t="inlineStr"/>
      <c r="C87" s="35" t="inlineStr"/>
      <c r="D87" s="37" t="inlineStr"/>
      <c r="E87" s="37" t="inlineStr"/>
      <c r="F87" s="37" t="inlineStr"/>
      <c r="G87" s="43" t="inlineStr"/>
      <c r="H87" s="45" t="inlineStr"/>
    </row>
    <row r="88">
      <c r="B88" s="35" t="inlineStr"/>
      <c r="C88" s="35" t="inlineStr"/>
      <c r="D88" s="37" t="inlineStr"/>
      <c r="E88" s="37" t="inlineStr"/>
      <c r="F88" s="37" t="inlineStr"/>
      <c r="G88" s="43" t="inlineStr"/>
      <c r="H88" s="45" t="inlineStr"/>
    </row>
    <row r="89">
      <c r="B89" s="35" t="inlineStr"/>
      <c r="C89" s="35" t="inlineStr"/>
      <c r="D89" s="37" t="inlineStr"/>
      <c r="E89" s="37" t="inlineStr"/>
      <c r="F89" s="37" t="inlineStr"/>
      <c r="G89" s="43" t="inlineStr"/>
      <c r="H89" s="45" t="inlineStr"/>
    </row>
    <row r="90">
      <c r="B90" s="35" t="inlineStr"/>
      <c r="C90" s="35" t="inlineStr"/>
      <c r="D90" s="37" t="inlineStr"/>
      <c r="E90" s="37" t="inlineStr"/>
      <c r="F90" s="37" t="inlineStr"/>
      <c r="G90" s="43" t="inlineStr"/>
      <c r="H90" s="45" t="inlineStr"/>
    </row>
    <row r="91">
      <c r="B91" s="35" t="inlineStr"/>
      <c r="C91" s="35" t="inlineStr"/>
      <c r="D91" s="37" t="inlineStr"/>
      <c r="E91" s="37" t="inlineStr"/>
      <c r="F91" s="37" t="inlineStr"/>
      <c r="G91" s="43" t="inlineStr"/>
      <c r="H91" s="45" t="inlineStr"/>
    </row>
    <row r="92">
      <c r="B92" s="35" t="inlineStr"/>
      <c r="C92" s="35" t="inlineStr"/>
      <c r="D92" s="37" t="inlineStr"/>
      <c r="E92" s="37" t="inlineStr"/>
      <c r="F92" s="37" t="inlineStr"/>
      <c r="G92" s="43" t="inlineStr"/>
      <c r="H92" s="45" t="inlineStr"/>
    </row>
    <row r="93">
      <c r="B93" s="35" t="inlineStr"/>
      <c r="C93" s="35" t="inlineStr"/>
      <c r="D93" s="37" t="inlineStr"/>
      <c r="E93" s="37" t="inlineStr"/>
      <c r="F93" s="37" t="inlineStr"/>
      <c r="G93" s="43" t="inlineStr"/>
      <c r="H93" s="45" t="inlineStr"/>
    </row>
    <row r="94">
      <c r="B94" s="35" t="inlineStr"/>
      <c r="C94" s="35" t="inlineStr"/>
      <c r="D94" s="37" t="inlineStr"/>
      <c r="E94" s="37" t="inlineStr"/>
      <c r="F94" s="37" t="inlineStr"/>
      <c r="G94" s="43" t="inlineStr"/>
      <c r="H94" s="45" t="inlineStr"/>
    </row>
    <row r="95">
      <c r="B95" s="35" t="inlineStr"/>
      <c r="C95" s="35" t="inlineStr"/>
      <c r="D95" s="37" t="inlineStr"/>
      <c r="E95" s="37" t="inlineStr"/>
      <c r="F95" s="37" t="inlineStr"/>
      <c r="G95" s="43" t="inlineStr"/>
      <c r="H95" s="45" t="inlineStr"/>
    </row>
    <row r="96">
      <c r="B96" s="35" t="inlineStr"/>
      <c r="C96" s="35" t="inlineStr"/>
      <c r="D96" s="37" t="inlineStr"/>
      <c r="E96" s="37" t="inlineStr"/>
      <c r="F96" s="37" t="inlineStr"/>
      <c r="G96" s="43" t="inlineStr"/>
      <c r="H96" s="45" t="inlineStr"/>
    </row>
    <row r="97">
      <c r="B97" s="35" t="inlineStr"/>
      <c r="C97" s="35" t="inlineStr"/>
      <c r="D97" s="37" t="inlineStr"/>
      <c r="E97" s="37" t="inlineStr"/>
      <c r="F97" s="37" t="inlineStr"/>
      <c r="G97" s="43" t="inlineStr"/>
      <c r="H97" s="45" t="inlineStr"/>
    </row>
    <row r="98">
      <c r="B98" s="35" t="inlineStr"/>
      <c r="C98" s="35" t="inlineStr"/>
      <c r="D98" s="37" t="inlineStr"/>
      <c r="E98" s="37" t="inlineStr"/>
      <c r="F98" s="37" t="inlineStr"/>
      <c r="G98" s="43" t="inlineStr"/>
      <c r="H98" s="45" t="inlineStr"/>
    </row>
    <row r="99">
      <c r="B99" s="35" t="inlineStr"/>
      <c r="C99" s="35" t="inlineStr"/>
      <c r="D99" s="37" t="inlineStr"/>
      <c r="E99" s="37" t="inlineStr"/>
      <c r="F99" s="37" t="inlineStr"/>
      <c r="G99" s="43" t="inlineStr"/>
      <c r="H99" s="45" t="inlineStr"/>
    </row>
    <row r="100">
      <c r="B100" s="35" t="inlineStr"/>
      <c r="C100" s="35" t="inlineStr"/>
      <c r="D100" s="37" t="inlineStr"/>
      <c r="E100" s="37" t="inlineStr"/>
      <c r="F100" s="37" t="inlineStr"/>
      <c r="G100" s="43" t="inlineStr"/>
      <c r="H100" s="45" t="inlineStr"/>
    </row>
    <row r="101">
      <c r="B101" s="35" t="inlineStr"/>
      <c r="C101" s="35" t="inlineStr"/>
      <c r="D101" s="37" t="inlineStr"/>
      <c r="E101" s="37" t="inlineStr"/>
      <c r="F101" s="37" t="inlineStr"/>
      <c r="G101" s="43" t="inlineStr"/>
      <c r="H101" s="45" t="inlineStr"/>
    </row>
    <row r="102">
      <c r="B102" s="35" t="inlineStr"/>
      <c r="C102" s="35" t="inlineStr"/>
      <c r="D102" s="37" t="inlineStr"/>
      <c r="E102" s="37" t="inlineStr"/>
      <c r="F102" s="37" t="inlineStr"/>
      <c r="G102" s="43" t="inlineStr"/>
      <c r="H102" s="45" t="inlineStr"/>
    </row>
    <row r="103">
      <c r="B103" s="35" t="inlineStr"/>
      <c r="C103" s="35" t="inlineStr"/>
      <c r="D103" s="37" t="inlineStr"/>
      <c r="E103" s="37" t="inlineStr"/>
      <c r="F103" s="37" t="inlineStr"/>
      <c r="G103" s="43" t="inlineStr"/>
      <c r="H103" s="45" t="inlineStr"/>
    </row>
    <row r="104">
      <c r="B104" s="35" t="inlineStr"/>
      <c r="C104" s="35" t="inlineStr"/>
      <c r="D104" s="37" t="inlineStr"/>
      <c r="E104" s="37" t="inlineStr"/>
      <c r="F104" s="37" t="inlineStr"/>
      <c r="G104" s="43" t="inlineStr"/>
      <c r="H104" s="45" t="inlineStr"/>
    </row>
    <row r="105">
      <c r="B105" s="35" t="inlineStr"/>
      <c r="C105" s="35" t="inlineStr"/>
      <c r="D105" s="37" t="inlineStr"/>
      <c r="E105" s="37" t="inlineStr"/>
      <c r="F105" s="37" t="inlineStr"/>
      <c r="G105" s="43" t="inlineStr"/>
      <c r="H105" s="45" t="inlineStr"/>
    </row>
    <row r="106">
      <c r="B106" s="35" t="inlineStr"/>
      <c r="C106" s="35" t="inlineStr"/>
      <c r="D106" s="37" t="inlineStr"/>
      <c r="E106" s="37" t="inlineStr"/>
      <c r="F106" s="37" t="inlineStr"/>
      <c r="G106" s="43" t="inlineStr"/>
      <c r="H106" s="45" t="inlineStr"/>
    </row>
    <row r="107">
      <c r="B107" s="35" t="inlineStr"/>
      <c r="C107" s="35" t="inlineStr"/>
      <c r="D107" s="37" t="inlineStr"/>
      <c r="E107" s="37" t="inlineStr"/>
      <c r="F107" s="37" t="inlineStr"/>
      <c r="G107" s="43" t="inlineStr"/>
      <c r="H107" s="45" t="inlineStr"/>
    </row>
    <row r="108">
      <c r="B108" s="35" t="inlineStr"/>
      <c r="C108" s="35" t="inlineStr"/>
      <c r="D108" s="37" t="inlineStr"/>
      <c r="E108" s="37" t="inlineStr"/>
      <c r="F108" s="37" t="inlineStr"/>
      <c r="G108" s="43" t="inlineStr"/>
      <c r="H108" s="45" t="inlineStr"/>
    </row>
    <row r="109">
      <c r="B109" s="35" t="inlineStr"/>
      <c r="C109" s="35" t="inlineStr"/>
      <c r="D109" s="37" t="inlineStr"/>
      <c r="E109" s="37" t="inlineStr"/>
      <c r="F109" s="37" t="inlineStr"/>
      <c r="G109" s="43" t="inlineStr"/>
      <c r="H109" s="45" t="inlineStr"/>
    </row>
    <row r="110">
      <c r="B110" s="35" t="inlineStr"/>
      <c r="C110" s="35" t="inlineStr"/>
      <c r="D110" s="37" t="inlineStr"/>
      <c r="E110" s="37" t="inlineStr"/>
      <c r="F110" s="37" t="inlineStr"/>
      <c r="G110" s="43" t="inlineStr"/>
      <c r="H110" s="45" t="inlineStr"/>
    </row>
    <row r="111">
      <c r="B111" s="35" t="inlineStr"/>
      <c r="C111" s="35" t="inlineStr"/>
      <c r="D111" s="37" t="inlineStr"/>
      <c r="E111" s="37" t="inlineStr"/>
      <c r="F111" s="37" t="inlineStr"/>
      <c r="G111" s="43" t="inlineStr"/>
      <c r="H111" s="45" t="inlineStr"/>
    </row>
    <row r="112">
      <c r="B112" s="35" t="inlineStr"/>
      <c r="C112" s="35" t="inlineStr"/>
      <c r="D112" s="37" t="inlineStr"/>
      <c r="E112" s="37" t="inlineStr"/>
      <c r="F112" s="37" t="inlineStr"/>
      <c r="G112" s="43" t="inlineStr"/>
      <c r="H112" s="45" t="inlineStr"/>
    </row>
    <row r="113">
      <c r="B113" s="35" t="inlineStr"/>
      <c r="C113" s="35" t="inlineStr"/>
      <c r="D113" s="37" t="inlineStr"/>
      <c r="E113" s="37" t="inlineStr"/>
      <c r="F113" s="37" t="inlineStr"/>
      <c r="G113" s="43" t="inlineStr"/>
      <c r="H113" s="45" t="inlineStr"/>
    </row>
    <row r="114">
      <c r="B114" s="35" t="inlineStr"/>
      <c r="C114" s="35" t="inlineStr"/>
      <c r="D114" s="37" t="inlineStr"/>
      <c r="E114" s="37" t="inlineStr"/>
      <c r="F114" s="37" t="inlineStr"/>
      <c r="G114" s="43" t="inlineStr"/>
      <c r="H114" s="45" t="inlineStr"/>
    </row>
    <row r="115">
      <c r="B115" s="35" t="inlineStr"/>
      <c r="C115" s="35" t="inlineStr"/>
      <c r="D115" s="37" t="inlineStr"/>
      <c r="E115" s="37" t="inlineStr"/>
      <c r="F115" s="37" t="inlineStr"/>
      <c r="G115" s="43" t="inlineStr"/>
      <c r="H115" s="45" t="inlineStr"/>
    </row>
    <row r="116">
      <c r="B116" s="35" t="inlineStr"/>
      <c r="C116" s="35" t="inlineStr"/>
      <c r="D116" s="37" t="inlineStr"/>
      <c r="E116" s="37" t="inlineStr"/>
      <c r="F116" s="37" t="inlineStr"/>
      <c r="G116" s="43" t="inlineStr"/>
      <c r="H116" s="45" t="inlineStr"/>
    </row>
    <row r="117">
      <c r="B117" s="35" t="inlineStr"/>
      <c r="C117" s="35" t="inlineStr"/>
      <c r="D117" s="37" t="inlineStr"/>
      <c r="E117" s="37" t="inlineStr"/>
      <c r="F117" s="37" t="inlineStr"/>
      <c r="G117" s="43" t="inlineStr"/>
      <c r="H117" s="45" t="inlineStr"/>
    </row>
    <row r="118">
      <c r="B118" s="35" t="inlineStr"/>
      <c r="C118" s="35" t="inlineStr"/>
      <c r="D118" s="37" t="inlineStr"/>
      <c r="E118" s="37" t="inlineStr"/>
      <c r="F118" s="37" t="inlineStr"/>
      <c r="G118" s="43" t="inlineStr"/>
      <c r="H118" s="45" t="inlineStr"/>
    </row>
    <row r="119">
      <c r="B119" s="35" t="inlineStr"/>
      <c r="C119" s="35" t="inlineStr"/>
      <c r="D119" s="37" t="inlineStr"/>
      <c r="E119" s="37" t="inlineStr"/>
      <c r="F119" s="37" t="inlineStr"/>
      <c r="G119" s="43" t="inlineStr"/>
      <c r="H119" s="45" t="inlineStr"/>
    </row>
    <row r="120">
      <c r="B120" s="35" t="inlineStr"/>
      <c r="C120" s="35" t="inlineStr"/>
      <c r="D120" s="37" t="inlineStr"/>
      <c r="E120" s="37" t="inlineStr"/>
      <c r="F120" s="37" t="inlineStr"/>
      <c r="G120" s="43" t="inlineStr"/>
      <c r="H120" s="45" t="inlineStr"/>
    </row>
    <row r="121">
      <c r="B121" s="35" t="inlineStr"/>
      <c r="C121" s="35" t="inlineStr"/>
      <c r="D121" s="37" t="inlineStr"/>
      <c r="E121" s="37" t="inlineStr"/>
      <c r="F121" s="37" t="inlineStr"/>
      <c r="G121" s="43" t="inlineStr"/>
      <c r="H121" s="45" t="inlineStr"/>
    </row>
    <row r="122">
      <c r="B122" s="35" t="inlineStr"/>
      <c r="C122" s="35" t="inlineStr"/>
      <c r="D122" s="37" t="inlineStr"/>
      <c r="E122" s="37" t="inlineStr"/>
      <c r="F122" s="37" t="inlineStr"/>
      <c r="G122" s="43" t="inlineStr"/>
      <c r="H122" s="45" t="inlineStr"/>
    </row>
    <row r="123">
      <c r="B123" s="35" t="inlineStr"/>
      <c r="C123" s="35" t="inlineStr"/>
      <c r="D123" s="37" t="inlineStr"/>
      <c r="E123" s="37" t="inlineStr"/>
      <c r="F123" s="37" t="inlineStr"/>
      <c r="G123" s="43" t="inlineStr"/>
      <c r="H123" s="45" t="inlineStr"/>
    </row>
    <row r="124">
      <c r="B124" s="35" t="inlineStr"/>
      <c r="C124" s="35" t="inlineStr"/>
      <c r="D124" s="37" t="inlineStr"/>
      <c r="E124" s="37" t="inlineStr"/>
      <c r="F124" s="37" t="inlineStr"/>
      <c r="G124" s="43" t="inlineStr"/>
      <c r="H124" s="45" t="inlineStr"/>
    </row>
    <row r="125">
      <c r="B125" s="35" t="inlineStr"/>
      <c r="C125" s="35" t="inlineStr"/>
      <c r="D125" s="37" t="inlineStr"/>
      <c r="E125" s="37" t="inlineStr"/>
      <c r="F125" s="37" t="inlineStr"/>
      <c r="G125" s="43" t="inlineStr"/>
      <c r="H125" s="45" t="inlineStr"/>
    </row>
    <row r="126">
      <c r="B126" s="35" t="inlineStr"/>
      <c r="C126" s="35" t="inlineStr"/>
      <c r="D126" s="37" t="inlineStr"/>
      <c r="E126" s="37" t="inlineStr"/>
      <c r="F126" s="37" t="inlineStr"/>
      <c r="G126" s="43" t="inlineStr"/>
      <c r="H126" s="45" t="inlineStr"/>
    </row>
    <row r="127">
      <c r="B127" s="35" t="inlineStr"/>
      <c r="C127" s="35" t="inlineStr"/>
      <c r="D127" s="37" t="inlineStr"/>
      <c r="E127" s="37" t="inlineStr"/>
      <c r="F127" s="37" t="inlineStr"/>
      <c r="G127" s="43" t="inlineStr"/>
      <c r="H127" s="45" t="inlineStr"/>
    </row>
    <row r="128">
      <c r="B128" s="35" t="inlineStr"/>
      <c r="C128" s="35" t="inlineStr"/>
      <c r="D128" s="37" t="inlineStr"/>
      <c r="E128" s="37" t="inlineStr"/>
      <c r="F128" s="37" t="inlineStr"/>
      <c r="G128" s="43" t="inlineStr"/>
      <c r="H128" s="45" t="inlineStr"/>
    </row>
    <row r="129">
      <c r="B129" s="35" t="inlineStr"/>
      <c r="C129" s="35" t="inlineStr"/>
      <c r="D129" s="37" t="inlineStr"/>
      <c r="E129" s="37" t="inlineStr"/>
      <c r="F129" s="37" t="inlineStr"/>
      <c r="G129" s="43" t="inlineStr"/>
      <c r="H129" s="45" t="inlineStr"/>
    </row>
    <row r="130">
      <c r="B130" s="35" t="inlineStr"/>
      <c r="C130" s="35" t="inlineStr"/>
      <c r="D130" s="37" t="inlineStr"/>
      <c r="E130" s="37" t="inlineStr"/>
      <c r="F130" s="37" t="inlineStr"/>
      <c r="G130" s="43" t="inlineStr"/>
      <c r="H130" s="45" t="inlineStr"/>
    </row>
    <row r="131">
      <c r="B131" s="35" t="inlineStr"/>
      <c r="C131" s="35" t="inlineStr"/>
      <c r="D131" s="37" t="inlineStr"/>
      <c r="E131" s="37" t="inlineStr"/>
      <c r="F131" s="37" t="inlineStr"/>
      <c r="G131" s="43" t="inlineStr"/>
      <c r="H131" s="45" t="inlineStr"/>
    </row>
    <row r="132">
      <c r="B132" s="35" t="inlineStr"/>
      <c r="C132" s="35" t="inlineStr"/>
      <c r="D132" s="37" t="inlineStr"/>
      <c r="E132" s="37" t="inlineStr"/>
      <c r="F132" s="37" t="inlineStr"/>
      <c r="G132" s="43" t="inlineStr"/>
      <c r="H132" s="45" t="inlineStr"/>
    </row>
    <row r="133">
      <c r="B133" s="35" t="inlineStr"/>
      <c r="C133" s="35" t="inlineStr"/>
      <c r="D133" s="37" t="inlineStr"/>
      <c r="E133" s="37" t="inlineStr"/>
      <c r="F133" s="37" t="inlineStr"/>
      <c r="G133" s="43" t="inlineStr"/>
      <c r="H133" s="45" t="inlineStr"/>
    </row>
    <row r="134">
      <c r="B134" s="35" t="inlineStr"/>
      <c r="C134" s="35" t="inlineStr"/>
      <c r="D134" s="37" t="inlineStr"/>
      <c r="E134" s="37" t="inlineStr"/>
      <c r="F134" s="37" t="inlineStr"/>
      <c r="G134" s="43" t="inlineStr"/>
      <c r="H134" s="45" t="inlineStr"/>
    </row>
    <row r="135">
      <c r="B135" s="35" t="inlineStr"/>
      <c r="C135" s="35" t="inlineStr"/>
      <c r="D135" s="37" t="inlineStr"/>
      <c r="E135" s="37" t="inlineStr"/>
      <c r="F135" s="37" t="inlineStr"/>
      <c r="G135" s="43" t="inlineStr"/>
      <c r="H135" s="45" t="inlineStr"/>
    </row>
    <row r="136">
      <c r="B136" s="35" t="inlineStr"/>
      <c r="C136" s="35" t="inlineStr"/>
      <c r="D136" s="37" t="inlineStr"/>
      <c r="E136" s="37" t="inlineStr"/>
      <c r="F136" s="37" t="inlineStr"/>
      <c r="G136" s="43" t="inlineStr"/>
      <c r="H136" s="45" t="inlineStr"/>
    </row>
    <row r="137">
      <c r="B137" s="35" t="inlineStr"/>
      <c r="C137" s="35" t="inlineStr"/>
      <c r="D137" s="37" t="inlineStr"/>
      <c r="E137" s="37" t="inlineStr"/>
      <c r="F137" s="37" t="inlineStr"/>
      <c r="G137" s="43" t="inlineStr"/>
      <c r="H137" s="45" t="inlineStr"/>
    </row>
    <row r="138">
      <c r="B138" s="35" t="inlineStr"/>
      <c r="C138" s="35" t="inlineStr"/>
      <c r="D138" s="37" t="inlineStr"/>
      <c r="E138" s="37" t="inlineStr"/>
      <c r="F138" s="37" t="inlineStr"/>
      <c r="G138" s="43" t="inlineStr"/>
      <c r="H138" s="45" t="inlineStr"/>
    </row>
    <row r="139">
      <c r="B139" s="35" t="inlineStr"/>
      <c r="C139" s="35" t="inlineStr"/>
      <c r="D139" s="37" t="inlineStr"/>
      <c r="E139" s="37" t="inlineStr"/>
      <c r="F139" s="37" t="inlineStr"/>
      <c r="G139" s="43" t="inlineStr"/>
      <c r="H139" s="45" t="inlineStr"/>
    </row>
    <row r="140">
      <c r="B140" s="35" t="inlineStr"/>
      <c r="C140" s="35" t="inlineStr"/>
      <c r="D140" s="37" t="inlineStr"/>
      <c r="E140" s="37" t="inlineStr"/>
      <c r="F140" s="37" t="inlineStr"/>
      <c r="G140" s="43" t="inlineStr"/>
      <c r="H140" s="45" t="inlineStr"/>
    </row>
    <row r="141">
      <c r="B141" s="35" t="inlineStr"/>
      <c r="C141" s="35" t="inlineStr"/>
      <c r="D141" s="37" t="inlineStr"/>
      <c r="E141" s="37" t="inlineStr"/>
      <c r="F141" s="37" t="inlineStr"/>
      <c r="G141" s="43" t="inlineStr"/>
      <c r="H141" s="45" t="inlineStr"/>
    </row>
    <row r="142">
      <c r="B142" s="35" t="inlineStr"/>
      <c r="C142" s="35" t="inlineStr"/>
      <c r="D142" s="37" t="inlineStr"/>
      <c r="E142" s="37" t="inlineStr"/>
      <c r="F142" s="37" t="inlineStr"/>
      <c r="G142" s="43" t="inlineStr"/>
      <c r="H142" s="45" t="inlineStr"/>
    </row>
    <row r="143">
      <c r="B143" s="35" t="inlineStr"/>
      <c r="C143" s="35" t="inlineStr"/>
      <c r="D143" s="37" t="inlineStr"/>
      <c r="E143" s="37" t="inlineStr"/>
      <c r="F143" s="37" t="inlineStr"/>
      <c r="G143" s="43" t="inlineStr"/>
      <c r="H143" s="45" t="inlineStr"/>
    </row>
    <row r="144">
      <c r="B144" s="35" t="inlineStr"/>
      <c r="C144" s="35" t="inlineStr"/>
      <c r="D144" s="37" t="inlineStr"/>
      <c r="E144" s="37" t="inlineStr"/>
      <c r="F144" s="37" t="inlineStr"/>
      <c r="G144" s="43" t="inlineStr"/>
      <c r="H144" s="45" t="inlineStr"/>
    </row>
    <row r="145">
      <c r="B145" s="35" t="inlineStr"/>
      <c r="C145" s="35" t="inlineStr"/>
      <c r="D145" s="37" t="inlineStr"/>
      <c r="E145" s="37" t="inlineStr"/>
      <c r="F145" s="37" t="inlineStr"/>
      <c r="G145" s="43" t="inlineStr"/>
      <c r="H145" s="45" t="inlineStr"/>
    </row>
    <row r="146">
      <c r="B146" s="35" t="inlineStr"/>
      <c r="C146" s="35" t="inlineStr"/>
      <c r="D146" s="37" t="inlineStr"/>
      <c r="E146" s="37" t="inlineStr"/>
      <c r="F146" s="37" t="inlineStr"/>
      <c r="G146" s="43" t="inlineStr"/>
      <c r="H146" s="45" t="inlineStr"/>
    </row>
    <row r="147">
      <c r="B147" s="35" t="inlineStr"/>
      <c r="C147" s="35" t="inlineStr"/>
      <c r="D147" s="37" t="inlineStr"/>
      <c r="E147" s="37" t="inlineStr"/>
      <c r="F147" s="37" t="inlineStr"/>
      <c r="G147" s="43" t="inlineStr"/>
      <c r="H147" s="45" t="inlineStr"/>
    </row>
    <row r="148">
      <c r="B148" s="35" t="inlineStr"/>
      <c r="C148" s="35" t="inlineStr"/>
      <c r="D148" s="37" t="inlineStr"/>
      <c r="E148" s="37" t="inlineStr"/>
      <c r="F148" s="37" t="inlineStr"/>
      <c r="G148" s="43" t="inlineStr"/>
      <c r="H148" s="45" t="inlineStr"/>
    </row>
    <row r="149">
      <c r="B149" s="35" t="inlineStr"/>
      <c r="C149" s="35" t="inlineStr"/>
      <c r="D149" s="37" t="inlineStr"/>
      <c r="E149" s="37" t="inlineStr"/>
      <c r="F149" s="37" t="inlineStr"/>
      <c r="G149" s="43" t="inlineStr"/>
      <c r="H149" s="45" t="inlineStr"/>
    </row>
    <row r="150">
      <c r="B150" s="35" t="inlineStr"/>
      <c r="C150" s="35" t="inlineStr"/>
      <c r="D150" s="37" t="inlineStr"/>
      <c r="E150" s="37" t="inlineStr"/>
      <c r="F150" s="37" t="inlineStr"/>
      <c r="G150" s="43" t="inlineStr"/>
      <c r="H150" s="45" t="inlineStr"/>
    </row>
    <row r="151">
      <c r="B151" s="35" t="inlineStr"/>
      <c r="C151" s="35" t="inlineStr"/>
      <c r="D151" s="37" t="inlineStr"/>
      <c r="E151" s="37" t="inlineStr"/>
      <c r="F151" s="37" t="inlineStr"/>
      <c r="G151" s="43" t="inlineStr"/>
      <c r="H151" s="45" t="inlineStr"/>
    </row>
    <row r="152">
      <c r="B152" s="35" t="inlineStr"/>
      <c r="C152" s="35" t="inlineStr"/>
      <c r="D152" s="37" t="inlineStr"/>
      <c r="E152" s="37" t="inlineStr"/>
      <c r="F152" s="37" t="inlineStr"/>
      <c r="G152" s="43" t="inlineStr"/>
      <c r="H152" s="45" t="inlineStr"/>
    </row>
    <row r="153">
      <c r="B153" s="35" t="inlineStr"/>
      <c r="C153" s="35" t="inlineStr"/>
      <c r="D153" s="37" t="inlineStr"/>
      <c r="E153" s="37" t="inlineStr"/>
      <c r="F153" s="37" t="inlineStr"/>
      <c r="G153" s="43" t="inlineStr"/>
      <c r="H153" s="45" t="inlineStr"/>
    </row>
    <row r="154">
      <c r="B154" s="35" t="inlineStr"/>
      <c r="C154" s="35" t="inlineStr"/>
      <c r="D154" s="37" t="inlineStr"/>
      <c r="E154" s="37" t="inlineStr"/>
      <c r="F154" s="37" t="inlineStr"/>
      <c r="G154" s="43" t="inlineStr"/>
      <c r="H154" s="45" t="inlineStr"/>
    </row>
    <row r="155">
      <c r="B155" s="35" t="inlineStr"/>
      <c r="C155" s="35" t="inlineStr"/>
      <c r="D155" s="37" t="inlineStr"/>
      <c r="E155" s="37" t="inlineStr"/>
      <c r="F155" s="37" t="inlineStr"/>
      <c r="G155" s="43" t="inlineStr"/>
      <c r="H155" s="45" t="inlineStr"/>
    </row>
    <row r="156">
      <c r="B156" s="35" t="inlineStr"/>
      <c r="C156" s="35" t="inlineStr"/>
      <c r="D156" s="37" t="inlineStr"/>
      <c r="E156" s="37" t="inlineStr"/>
      <c r="F156" s="37" t="inlineStr"/>
      <c r="G156" s="43" t="inlineStr"/>
      <c r="H156" s="4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1" t="inlineStr">
        <is>
          <t>售后损失分析</t>
        </is>
      </c>
    </row>
    <row r="2">
      <c r="A2" s="15" t="inlineStr">
        <is>
          <t>项目</t>
        </is>
      </c>
      <c r="B2" s="15" t="inlineStr">
        <is>
          <t>金额/数量</t>
        </is>
      </c>
      <c r="C2" s="15" t="inlineStr">
        <is>
          <t>比率</t>
        </is>
      </c>
      <c r="D2" s="15" t="inlineStr">
        <is>
          <t>说明</t>
        </is>
      </c>
    </row>
    <row r="3">
      <c r="B3" s="3" t="inlineStr">
        <is>
          <t>退货退款订单数</t>
        </is>
      </c>
      <c r="C3" s="46" t="n">
        <v>39</v>
      </c>
      <c r="D3" s="34" t="inlineStr"/>
      <c r="E3" s="4" t="inlineStr">
        <is>
          <t>Return and refund</t>
        </is>
      </c>
    </row>
    <row r="4">
      <c r="B4" s="3" t="inlineStr">
        <is>
          <t>仅退款订单数</t>
        </is>
      </c>
      <c r="C4" s="46" t="n">
        <v>11</v>
      </c>
      <c r="D4" s="34" t="inlineStr"/>
      <c r="E4" s="4" t="inlineStr">
        <is>
          <t>Refund only</t>
        </is>
      </c>
    </row>
    <row r="5">
      <c r="B5" s="3" t="inlineStr">
        <is>
          <t>售后总订单数</t>
        </is>
      </c>
      <c r="C5" s="46" t="n">
        <v>50</v>
      </c>
      <c r="D5" s="34" t="inlineStr"/>
      <c r="E5" s="4" t="inlineStr"/>
    </row>
    <row r="6">
      <c r="B6" s="3" t="inlineStr">
        <is>
          <t>退款总额</t>
        </is>
      </c>
      <c r="C6" s="46" t="inlineStr"/>
      <c r="D6" s="34" t="inlineStr"/>
      <c r="E6" s="4" t="inlineStr">
        <is>
          <t>从结算明细统计</t>
        </is>
      </c>
    </row>
    <row r="7">
      <c r="B7" s="3" t="inlineStr">
        <is>
          <t>售后率(按金额)</t>
        </is>
      </c>
      <c r="C7" s="46" t="inlineStr"/>
      <c r="D7" s="34" t="inlineStr">
        <is>
          <t>退款÷GMV</t>
        </is>
      </c>
      <c r="E7" s="4" t="inlineStr"/>
    </row>
    <row r="8">
      <c r="B8" s="3" t="inlineStr">
        <is>
          <t>售后损失(商家承担)</t>
        </is>
      </c>
      <c r="C8" s="46">
        <f>SUM(利润明细!U:U)</f>
        <v/>
      </c>
      <c r="D8" s="34" t="inlineStr"/>
      <c r="E8" s="4" t="inlineStr"/>
    </row>
    <row r="9">
      <c r="B9" s="3" t="inlineStr">
        <is>
          <t>售后损失率</t>
        </is>
      </c>
      <c r="C9" s="46" t="inlineStr"/>
      <c r="D9" s="34" t="inlineStr">
        <is>
          <t>售后损失÷有效销售额</t>
        </is>
      </c>
      <c r="E9" s="4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8" customWidth="1" min="3" max="3"/>
    <col width="24" customWidth="1" min="4" max="4"/>
  </cols>
  <sheetData>
    <row r="1" ht="30" customHeight="1">
      <c r="A1" s="11" t="inlineStr">
        <is>
          <t>指标定义与计算公式</t>
        </is>
      </c>
    </row>
    <row r="2">
      <c r="A2" s="15" t="inlineStr">
        <is>
          <t>指标</t>
        </is>
      </c>
      <c r="B2" s="15" t="inlineStr">
        <is>
          <t>计算公式/定义</t>
        </is>
      </c>
      <c r="C2" s="15" t="inlineStr">
        <is>
          <t>数据来源</t>
        </is>
      </c>
    </row>
    <row r="3">
      <c r="B3" s="3" t="inlineStr">
        <is>
          <t>GMV</t>
        </is>
      </c>
      <c r="C3" s="3" t="inlineStr">
        <is>
          <t>享受折扣前小计(结算明细) 按SKU求和</t>
        </is>
      </c>
      <c r="D3" s="47" t="inlineStr">
        <is>
          <t>结算明细</t>
        </is>
      </c>
    </row>
    <row r="4">
      <c r="B4" s="3" t="inlineStr">
        <is>
          <t>有效销售额</t>
        </is>
      </c>
      <c r="C4" s="3" t="inlineStr">
        <is>
          <t>享受商家折扣后小计 - 退款小计</t>
        </is>
      </c>
      <c r="D4" s="47" t="inlineStr">
        <is>
          <t>结算明细</t>
        </is>
      </c>
    </row>
    <row r="5">
      <c r="B5" s="3" t="inlineStr">
        <is>
          <t>净销售收入</t>
        </is>
      </c>
      <c r="C5" s="3" t="inlineStr">
        <is>
          <t>有效销售额 - 商家折扣</t>
        </is>
      </c>
      <c r="D5" s="47" t="inlineStr">
        <is>
          <t>结算明细</t>
        </is>
      </c>
    </row>
    <row r="6">
      <c r="B6" s="3" t="inlineStr">
        <is>
          <t>商品成本(CNY)</t>
        </is>
      </c>
      <c r="C6" s="3" t="inlineStr">
        <is>
          <t>成本价(含头程) × 销量</t>
        </is>
      </c>
      <c r="D6" s="47" t="inlineStr">
        <is>
          <t>商品资料表</t>
        </is>
      </c>
    </row>
    <row r="7">
      <c r="B7" s="3" t="inlineStr">
        <is>
          <t>商品成本(THB)</t>
        </is>
      </c>
      <c r="C7" s="3" t="inlineStr">
        <is>
          <t>商品成本(CNY) × 汇率</t>
        </is>
      </c>
      <c r="D7" s="47" t="inlineStr">
        <is>
          <t>计算</t>
        </is>
      </c>
    </row>
    <row r="8">
      <c r="B8" s="3" t="inlineStr">
        <is>
          <t>毛利润</t>
        </is>
      </c>
      <c r="C8" s="3" t="inlineStr">
        <is>
          <t>净销售收入 - 商品成本(THB)</t>
        </is>
      </c>
      <c r="D8" s="47" t="inlineStr">
        <is>
          <t>计算</t>
        </is>
      </c>
    </row>
    <row r="9">
      <c r="B9" s="3" t="inlineStr">
        <is>
          <t>毛利率</t>
        </is>
      </c>
      <c r="C9" s="3" t="inlineStr">
        <is>
          <t>毛利润 ÷ 有效销售额</t>
        </is>
      </c>
      <c r="D9" s="47" t="inlineStr">
        <is>
          <t>计算</t>
        </is>
      </c>
    </row>
    <row r="10">
      <c r="B10" s="3" t="inlineStr">
        <is>
          <t>平台佣金</t>
        </is>
      </c>
      <c r="C10" s="3" t="inlineStr">
        <is>
          <t>TikTok Shop 佣金费 按SKU求和</t>
        </is>
      </c>
      <c r="D10" s="47" t="inlineStr">
        <is>
          <t>结算明细</t>
        </is>
      </c>
    </row>
    <row r="11">
      <c r="B11" s="3" t="inlineStr">
        <is>
          <t>交易手续费</t>
        </is>
      </c>
      <c r="C11" s="3" t="inlineStr">
        <is>
          <t>交易手续费 按SKU求和</t>
        </is>
      </c>
      <c r="D11" s="47" t="inlineStr">
        <is>
          <t>结算明细</t>
        </is>
      </c>
    </row>
    <row r="12">
      <c r="B12" s="3" t="inlineStr">
        <is>
          <t>平台税费及其他</t>
        </is>
      </c>
      <c r="C12" s="3" t="inlineStr">
        <is>
          <t>电商增长+基础设施+其他平台费</t>
        </is>
      </c>
      <c r="D12" s="47" t="inlineStr">
        <is>
          <t>结算明细</t>
        </is>
      </c>
    </row>
    <row r="13">
      <c r="B13" s="3" t="inlineStr">
        <is>
          <t>推广费用</t>
        </is>
      </c>
      <c r="C13" s="3" t="inlineStr">
        <is>
          <t>GMV Max 广告费 按SKU求和</t>
        </is>
      </c>
      <c r="D13" s="47" t="inlineStr">
        <is>
          <t>结算明细</t>
        </is>
      </c>
    </row>
    <row r="14">
      <c r="B14" s="3" t="inlineStr">
        <is>
          <t>达人佣金</t>
        </is>
      </c>
      <c r="C14" s="3" t="inlineStr">
        <is>
          <t>联盟佣金 按SKU求和</t>
        </is>
      </c>
      <c r="D14" s="47" t="inlineStr">
        <is>
          <t>结算明细</t>
        </is>
      </c>
    </row>
    <row r="15">
      <c r="B15" s="3" t="inlineStr">
        <is>
          <t>尾程物流</t>
        </is>
      </c>
      <c r="C15" s="3" t="inlineStr">
        <is>
          <t>商家运费 按SKU求和</t>
        </is>
      </c>
      <c r="D15" s="47" t="inlineStr">
        <is>
          <t>结算明细</t>
        </is>
      </c>
    </row>
    <row r="16">
      <c r="B16" s="3" t="inlineStr">
        <is>
          <t>总变动成本</t>
        </is>
      </c>
      <c r="C16" s="3" t="inlineStr">
        <is>
          <t>以上所有成本费用之和</t>
        </is>
      </c>
      <c r="D16" s="47" t="inlineStr">
        <is>
          <t>计算</t>
        </is>
      </c>
    </row>
    <row r="17">
      <c r="B17" s="3" t="inlineStr">
        <is>
          <t>经营贡献利润</t>
        </is>
      </c>
      <c r="C17" s="3" t="inlineStr">
        <is>
          <t>净销售收入 - 总变动成本</t>
        </is>
      </c>
      <c r="D17" s="47" t="inlineStr">
        <is>
          <t>计算</t>
        </is>
      </c>
    </row>
    <row r="18">
      <c r="B18" s="3" t="inlineStr">
        <is>
          <t>经营贡献利润率</t>
        </is>
      </c>
      <c r="C18" s="3" t="inlineStr">
        <is>
          <t>经营贡献利润 ÷ 有效销售额</t>
        </is>
      </c>
      <c r="D18" s="47" t="inlineStr">
        <is>
          <t>计算</t>
        </is>
      </c>
    </row>
    <row r="19">
      <c r="B19" s="3" t="inlineStr">
        <is>
          <t>ROI</t>
        </is>
      </c>
      <c r="C19" s="3" t="inlineStr">
        <is>
          <t>有效销售额 ÷ (商品成本+推广费用)</t>
        </is>
      </c>
      <c r="D19" s="47" t="inlineStr">
        <is>
          <t>计算</t>
        </is>
      </c>
    </row>
    <row r="21">
      <c r="B21" s="8" t="inlineStr">
        <is>
          <t>📌 重要口径说明</t>
        </is>
      </c>
    </row>
    <row r="22">
      <c r="B22" s="5" t="inlineStr">
        <is>
          <t>⚠️ 结算数据(收入/平台费/广告/佣金/物流) = THB（泰铢）</t>
        </is>
      </c>
    </row>
    <row r="23">
      <c r="B23" s="5" t="inlineStr">
        <is>
          <t>⚠️ 商品成本(商品资料表) = CNY（人民币），需用汇率换算为THB后填入</t>
        </is>
      </c>
    </row>
    <row r="24">
      <c r="B24" s="5" t="inlineStr">
        <is>
          <t>⚠️ 其他费用(7店铺成本美妆) = CNY（人民币），需用汇率换算为THB</t>
        </is>
      </c>
    </row>
    <row r="25">
      <c r="B25" s="3" t="inlineStr">
        <is>
          <t>所有"率"类指标，分母统一为「有效销售额」</t>
        </is>
      </c>
    </row>
    <row r="26">
      <c r="B26" s="3" t="inlineStr">
        <is>
          <t>GMV只做参考，不用于利润率计算</t>
        </is>
      </c>
    </row>
    <row r="27">
      <c r="B27" s="3" t="inlineStr">
        <is>
          <t>平台费用以结算明细实际扣款为准，不用理论费率</t>
        </is>
      </c>
    </row>
    <row r="28">
      <c r="B28" s="3" t="inlineStr">
        <is>
          <t>固定成本(人工/房租等)暂不计入经营利润</t>
        </is>
      </c>
    </row>
    <row r="29">
      <c r="B29" s="3" t="inlineStr">
        <is>
          <t>头程物流已包含在商品成本中</t>
        </is>
      </c>
    </row>
    <row r="30">
      <c r="B30" s="3" t="inlineStr">
        <is>
          <t>结算明细中金额为负 = 平台扣款，处理时取绝对值</t>
        </is>
      </c>
    </row>
  </sheetData>
  <mergeCells count="11">
    <mergeCell ref="A1:D1"/>
    <mergeCell ref="B28:D28"/>
    <mergeCell ref="B23:D23"/>
    <mergeCell ref="B22:D22"/>
    <mergeCell ref="B26:D26"/>
    <mergeCell ref="B27:D27"/>
    <mergeCell ref="B21:D21"/>
    <mergeCell ref="B30:D30"/>
    <mergeCell ref="B29:D29"/>
    <mergeCell ref="B25:D25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2026-08-10T12:30:34Z</dcterms:created>
  <dcterms:modified xmlns:dcterms="http://purl.org/dc/terms/" xmlns:xsi="http://www.w3.org/2001/XMLSchema-instance" xsi:type="dcterms:W3CDTF">2026-08-10T12:30:34Z</dcterms:modified>
</cp:coreProperties>
</file>